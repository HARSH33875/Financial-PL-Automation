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1ECEF8EC-1F7F-4CEC-B963-11BD04CFF127}" xr6:coauthVersionLast="47" xr6:coauthVersionMax="47" xr10:uidLastSave="{00000000-0000-0000-0000-000000000000}"/>
  <bookViews>
    <workbookView xWindow="-108" yWindow="-108" windowWidth="23256" windowHeight="13176" activeTab="5" xr2:uid="{E1882AF7-3259-4F56-BD4B-38543C6AD294}"/>
  </bookViews>
  <sheets>
    <sheet name="Control" sheetId="6" r:id="rId1"/>
    <sheet name="Dashboard" sheetId="5" r:id="rId2"/>
    <sheet name="P&amp;L_Report" sheetId="4" r:id="rId3"/>
    <sheet name="PivotData" sheetId="3" r:id="rId4"/>
    <sheet name="DataCleaned" sheetId="2" r:id="rId5"/>
    <sheet name="RawData" sheetId="1" r:id="rId6"/>
  </sheets>
  <calcPr calcId="191029"/>
  <pivotCaches>
    <pivotCache cacheId="9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4" l="1"/>
  <c r="B15" i="4"/>
  <c r="B14" i="4"/>
  <c r="B13" i="4"/>
  <c r="B12" i="4"/>
  <c r="B11" i="4"/>
  <c r="B10" i="4"/>
  <c r="B7" i="4"/>
  <c r="B18" i="4" s="1"/>
</calcChain>
</file>

<file path=xl/sharedStrings.xml><?xml version="1.0" encoding="utf-8"?>
<sst xmlns="http://schemas.openxmlformats.org/spreadsheetml/2006/main" count="390" uniqueCount="91">
  <si>
    <t>Date</t>
  </si>
  <si>
    <t>Description</t>
  </si>
  <si>
    <t>Category</t>
  </si>
  <si>
    <t>Amount</t>
  </si>
  <si>
    <t>Type</t>
  </si>
  <si>
    <t>Product Sales - Widget A</t>
  </si>
  <si>
    <t>Revenue</t>
  </si>
  <si>
    <t>Income</t>
  </si>
  <si>
    <t>Service Revenue - Consulting</t>
  </si>
  <si>
    <t>Employee Salaries - January</t>
  </si>
  <si>
    <t>Salary Expense</t>
  </si>
  <si>
    <t>Expense</t>
  </si>
  <si>
    <t>Office Rent - January</t>
  </si>
  <si>
    <t>Rent</t>
  </si>
  <si>
    <t>Product Sales - Widget B</t>
  </si>
  <si>
    <t>Electricity Bill</t>
  </si>
  <si>
    <t>Utilities</t>
  </si>
  <si>
    <t>Google Ads Campaign</t>
  </si>
  <si>
    <t>Marketing</t>
  </si>
  <si>
    <t>Product Sales - Widget C</t>
  </si>
  <si>
    <t>Office Supplies - Stationery</t>
  </si>
  <si>
    <t>Office Supplies</t>
  </si>
  <si>
    <t>Internet and Phone</t>
  </si>
  <si>
    <t>Service Revenue - Training</t>
  </si>
  <si>
    <t>Facebook Marketing</t>
  </si>
  <si>
    <t>01/13/2025</t>
  </si>
  <si>
    <t>01/14/2025</t>
  </si>
  <si>
    <t>Water Bill</t>
  </si>
  <si>
    <t>01/15/2025</t>
  </si>
  <si>
    <t>Software Subscriptions</t>
  </si>
  <si>
    <t>Other</t>
  </si>
  <si>
    <t>01/16/2025</t>
  </si>
  <si>
    <t>Product Sales - Widget D</t>
  </si>
  <si>
    <t>01/17/2025</t>
  </si>
  <si>
    <t>Printer Supplies</t>
  </si>
  <si>
    <t>01/18/2025</t>
  </si>
  <si>
    <t>01/19/2025</t>
  </si>
  <si>
    <t>Website Hosting</t>
  </si>
  <si>
    <t>01/20/2025</t>
  </si>
  <si>
    <t>01/21/2025</t>
  </si>
  <si>
    <t>Travel Expenses</t>
  </si>
  <si>
    <t>01/22/2025</t>
  </si>
  <si>
    <t>01/23/2025</t>
  </si>
  <si>
    <t>LinkedIn Advertising</t>
  </si>
  <si>
    <t>01/24/2025</t>
  </si>
  <si>
    <t>Office Equipment Maintenance</t>
  </si>
  <si>
    <t>01/25/2025</t>
  </si>
  <si>
    <t>Service Revenue - Support</t>
  </si>
  <si>
    <t>01/26/2025</t>
  </si>
  <si>
    <t>01/27/2025</t>
  </si>
  <si>
    <t>Cleaning Services</t>
  </si>
  <si>
    <t>01/28/2025</t>
  </si>
  <si>
    <t>Product Sales - Widget E</t>
  </si>
  <si>
    <t>01/29/2025</t>
  </si>
  <si>
    <t>Insurance Premium</t>
  </si>
  <si>
    <t>01/30/2025</t>
  </si>
  <si>
    <t>01/31/2025</t>
  </si>
  <si>
    <t>Bank Fees</t>
  </si>
  <si>
    <t>Employee Salaries - February</t>
  </si>
  <si>
    <t>Office Rent - February</t>
  </si>
  <si>
    <t>SEO Services</t>
  </si>
  <si>
    <t>Office Furniture</t>
  </si>
  <si>
    <t>Email Marketing Platform</t>
  </si>
  <si>
    <t>02/13/2025</t>
  </si>
  <si>
    <t>02/14/2025</t>
  </si>
  <si>
    <t>02/15/2025</t>
  </si>
  <si>
    <t>Cloud Storage</t>
  </si>
  <si>
    <t>02/16/2025</t>
  </si>
  <si>
    <t>02/17/2025</t>
  </si>
  <si>
    <t>Legal Fees</t>
  </si>
  <si>
    <t>02/18/2025</t>
  </si>
  <si>
    <t>02/19/2025</t>
  </si>
  <si>
    <t>Trade Show Booth</t>
  </si>
  <si>
    <t>02/20/2025</t>
  </si>
  <si>
    <t>Month</t>
  </si>
  <si>
    <t>SubCategory</t>
  </si>
  <si>
    <t>Column Labels</t>
  </si>
  <si>
    <t>Grand Total</t>
  </si>
  <si>
    <t>Row Labels</t>
  </si>
  <si>
    <t>Sum of Amount</t>
  </si>
  <si>
    <t>PROFIT &amp; LOSS STATEMENT</t>
  </si>
  <si>
    <t>Period: January 2026</t>
  </si>
  <si>
    <t>REVENUE</t>
  </si>
  <si>
    <t>Total Revenue</t>
  </si>
  <si>
    <t>EXPENSES</t>
  </si>
  <si>
    <t>Total Expenses</t>
  </si>
  <si>
    <t>NET INCOME</t>
  </si>
  <si>
    <t>FINANCIAL DASHBOARD</t>
  </si>
  <si>
    <t>Net Income</t>
  </si>
  <si>
    <t>Profit Margin</t>
  </si>
  <si>
    <t>Generated: 01-03-2026 05:01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</si>
</sst>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mm/dd/yyyy"/>
    <numFmt numFmtId="165" formatCode="&quot;₹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336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AD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0" xfId="0" applyFont="1"/>
    <xf numFmtId="17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165" fontId="0" fillId="0" borderId="0" xfId="0" applyNumberFormat="1"/>
    <xf numFmtId="165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IN"/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numRef>
              <c:f>Dashboard!$Q$5:$Q$16</c:f>
              <c:numCache>
                <c:formatCode>m/d/yyyy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45662</c:v>
                </c:pt>
                <c:pt idx="4">
                  <c:v>45663</c:v>
                </c:pt>
                <c:pt idx="5">
                  <c:v>45664</c:v>
                </c:pt>
                <c:pt idx="6">
                  <c:v>45665</c:v>
                </c:pt>
                <c:pt idx="7">
                  <c:v>45666</c:v>
                </c:pt>
                <c:pt idx="8">
                  <c:v>45667</c:v>
                </c:pt>
                <c:pt idx="9">
                  <c:v>45668</c:v>
                </c:pt>
                <c:pt idx="10">
                  <c:v>45669</c:v>
                </c:pt>
                <c:pt idx="11">
                  <c:v>45661</c:v>
                </c:pt>
              </c:numCache>
            </c:numRef>
          </c:cat>
          <c:val>
            <c:numRef>
              <c:f>Dashboard!$R$5:$R$16</c:f>
              <c:numCache>
                <c:formatCode>General</c:formatCode>
                <c:ptCount val="12"/>
                <c:pt idx="0">
                  <c:v>155700</c:v>
                </c:pt>
                <c:pt idx="1">
                  <c:v>54000</c:v>
                </c:pt>
                <c:pt idx="2">
                  <c:v>0</c:v>
                </c:pt>
                <c:pt idx="3">
                  <c:v>12000</c:v>
                </c:pt>
                <c:pt idx="4">
                  <c:v>0</c:v>
                </c:pt>
                <c:pt idx="5">
                  <c:v>6200</c:v>
                </c:pt>
                <c:pt idx="6">
                  <c:v>20300</c:v>
                </c:pt>
                <c:pt idx="7">
                  <c:v>0</c:v>
                </c:pt>
                <c:pt idx="8">
                  <c:v>0</c:v>
                </c:pt>
                <c:pt idx="9">
                  <c:v>21300</c:v>
                </c:pt>
                <c:pt idx="10">
                  <c:v>0</c:v>
                </c:pt>
                <c:pt idx="11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4-4838-B962-33DA9FD0DFBD}"/>
            </c:ext>
          </c:extLst>
        </c:ser>
        <c:ser>
          <c:idx val="1"/>
          <c:order val="1"/>
          <c:tx>
            <c:strRef>
              <c:f>Dashboard!$S$4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Dashboard!$Q$5:$Q$16</c:f>
              <c:numCache>
                <c:formatCode>m/d/yyyy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45662</c:v>
                </c:pt>
                <c:pt idx="4">
                  <c:v>45663</c:v>
                </c:pt>
                <c:pt idx="5">
                  <c:v>45664</c:v>
                </c:pt>
                <c:pt idx="6">
                  <c:v>45665</c:v>
                </c:pt>
                <c:pt idx="7">
                  <c:v>45666</c:v>
                </c:pt>
                <c:pt idx="8">
                  <c:v>45667</c:v>
                </c:pt>
                <c:pt idx="9">
                  <c:v>45668</c:v>
                </c:pt>
                <c:pt idx="10">
                  <c:v>45669</c:v>
                </c:pt>
                <c:pt idx="11">
                  <c:v>45661</c:v>
                </c:pt>
              </c:numCache>
            </c:numRef>
          </c:cat>
          <c:val>
            <c:numRef>
              <c:f>Dashboard!$S$5:$S$16</c:f>
              <c:numCache>
                <c:formatCode>General</c:formatCode>
                <c:ptCount val="12"/>
                <c:pt idx="0">
                  <c:v>5890</c:v>
                </c:pt>
                <c:pt idx="1">
                  <c:v>58325</c:v>
                </c:pt>
                <c:pt idx="2">
                  <c:v>7000</c:v>
                </c:pt>
                <c:pt idx="3">
                  <c:v>475</c:v>
                </c:pt>
                <c:pt idx="4">
                  <c:v>1650</c:v>
                </c:pt>
                <c:pt idx="5">
                  <c:v>2500</c:v>
                </c:pt>
                <c:pt idx="6">
                  <c:v>0</c:v>
                </c:pt>
                <c:pt idx="7">
                  <c:v>3120</c:v>
                </c:pt>
                <c:pt idx="8">
                  <c:v>560</c:v>
                </c:pt>
                <c:pt idx="9">
                  <c:v>0</c:v>
                </c:pt>
                <c:pt idx="10">
                  <c:v>2250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4-4838-B962-33DA9FD0D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969824"/>
        <c:axId val="853972704"/>
      </c:barChart>
      <c:dateAx>
        <c:axId val="85396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853972704"/>
        <c:crosses val="autoZero"/>
        <c:auto val="1"/>
        <c:lblOffset val="100"/>
        <c:baseTimeUnit val="days"/>
      </c:dateAx>
      <c:valAx>
        <c:axId val="853972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39698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IN"/>
              <a:t>Expense Breakdown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Dashboard!$R$25</c:f>
              <c:strCache>
                <c:ptCount val="1"/>
                <c:pt idx="0">
                  <c:v>Amount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Dashboard!$Q$26:$Q$31</c:f>
              <c:strCache>
                <c:ptCount val="6"/>
                <c:pt idx="0">
                  <c:v>Salary Expense</c:v>
                </c:pt>
                <c:pt idx="1">
                  <c:v>Rent</c:v>
                </c:pt>
                <c:pt idx="2">
                  <c:v>Utilities</c:v>
                </c:pt>
                <c:pt idx="3">
                  <c:v>Marketing</c:v>
                </c:pt>
                <c:pt idx="4">
                  <c:v>Office Supplies</c:v>
                </c:pt>
                <c:pt idx="5">
                  <c:v>Other</c:v>
                </c:pt>
              </c:strCache>
            </c:strRef>
          </c:cat>
          <c:val>
            <c:numRef>
              <c:f>Dashboard!$R$26:$R$31</c:f>
              <c:numCache>
                <c:formatCode>General</c:formatCode>
                <c:ptCount val="6"/>
                <c:pt idx="0">
                  <c:v>50000</c:v>
                </c:pt>
                <c:pt idx="1">
                  <c:v>7000</c:v>
                </c:pt>
                <c:pt idx="2">
                  <c:v>1730</c:v>
                </c:pt>
                <c:pt idx="3">
                  <c:v>11400</c:v>
                </c:pt>
                <c:pt idx="4">
                  <c:v>3365</c:v>
                </c:pt>
                <c:pt idx="5">
                  <c:v>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C-451D-ABA8-4E2DE814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IN"/>
              <a:t>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Dashboard!$R$4</c:f>
              <c:strCache>
                <c:ptCount val="1"/>
                <c:pt idx="0">
                  <c:v>Income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circle"/>
            <c:size val="8"/>
            <c:spPr>
              <a:ln w="38100">
                <a:solidFill>
                  <a:srgbClr val="00B050"/>
                </a:solidFill>
              </a:ln>
            </c:spPr>
          </c:marker>
          <c:cat>
            <c:numRef>
              <c:f>Dashboard!$Q$5:$Q$20</c:f>
              <c:numCache>
                <c:formatCode>m/d/yyyy</c:formatCode>
                <c:ptCount val="1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45662</c:v>
                </c:pt>
                <c:pt idx="4">
                  <c:v>45663</c:v>
                </c:pt>
                <c:pt idx="5">
                  <c:v>45664</c:v>
                </c:pt>
                <c:pt idx="6">
                  <c:v>45665</c:v>
                </c:pt>
                <c:pt idx="7">
                  <c:v>45666</c:v>
                </c:pt>
                <c:pt idx="8">
                  <c:v>45667</c:v>
                </c:pt>
                <c:pt idx="9">
                  <c:v>45668</c:v>
                </c:pt>
                <c:pt idx="10">
                  <c:v>45669</c:v>
                </c:pt>
                <c:pt idx="11">
                  <c:v>45661</c:v>
                </c:pt>
              </c:numCache>
            </c:numRef>
          </c:cat>
          <c:val>
            <c:numRef>
              <c:f>Dashboard!$R$5:$R$20</c:f>
              <c:numCache>
                <c:formatCode>General</c:formatCode>
                <c:ptCount val="16"/>
                <c:pt idx="0">
                  <c:v>155700</c:v>
                </c:pt>
                <c:pt idx="1">
                  <c:v>54000</c:v>
                </c:pt>
                <c:pt idx="2">
                  <c:v>0</c:v>
                </c:pt>
                <c:pt idx="3">
                  <c:v>12000</c:v>
                </c:pt>
                <c:pt idx="4">
                  <c:v>0</c:v>
                </c:pt>
                <c:pt idx="5">
                  <c:v>6200</c:v>
                </c:pt>
                <c:pt idx="6">
                  <c:v>20300</c:v>
                </c:pt>
                <c:pt idx="7">
                  <c:v>0</c:v>
                </c:pt>
                <c:pt idx="8">
                  <c:v>0</c:v>
                </c:pt>
                <c:pt idx="9">
                  <c:v>21300</c:v>
                </c:pt>
                <c:pt idx="10">
                  <c:v>0</c:v>
                </c:pt>
                <c:pt idx="11">
                  <c:v>13800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F-4EAE-8B10-CFD642AA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320640"/>
        <c:axId val="790265072"/>
      </c:lineChart>
      <c:dateAx>
        <c:axId val="79532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90265072"/>
        <c:crosses val="autoZero"/>
        <c:auto val="1"/>
        <c:lblOffset val="100"/>
        <c:baseTimeUnit val="days"/>
      </c:dateAx>
      <c:valAx>
        <c:axId val="79026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53206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IN"/>
              <a:t>Top Expense Categories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Dashboard!$Q$25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val>
            <c:numRef>
              <c:f>Dashboard!$Q$26:$Q$35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C-47E2-B55D-EA19A47DA395}"/>
            </c:ext>
          </c:extLst>
        </c:ser>
        <c:ser>
          <c:idx val="1"/>
          <c:order val="1"/>
          <c:tx>
            <c:strRef>
              <c:f>Dashboard!$R$25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val>
            <c:numRef>
              <c:f>Dashboard!$R$26:$R$35</c:f>
              <c:numCache>
                <c:formatCode>General</c:formatCode>
                <c:ptCount val="10"/>
                <c:pt idx="0">
                  <c:v>50000</c:v>
                </c:pt>
                <c:pt idx="1">
                  <c:v>7000</c:v>
                </c:pt>
                <c:pt idx="2">
                  <c:v>1730</c:v>
                </c:pt>
                <c:pt idx="3">
                  <c:v>11400</c:v>
                </c:pt>
                <c:pt idx="4">
                  <c:v>3365</c:v>
                </c:pt>
                <c:pt idx="5">
                  <c:v>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C-47E2-B55D-EA19A47DA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266512"/>
        <c:axId val="790264592"/>
      </c:barChart>
      <c:catAx>
        <c:axId val="790266512"/>
        <c:scaling>
          <c:orientation val="minMax"/>
        </c:scaling>
        <c:delete val="0"/>
        <c:axPos val="l"/>
        <c:majorTickMark val="out"/>
        <c:minorTickMark val="none"/>
        <c:tickLblPos val="nextTo"/>
        <c:crossAx val="790264592"/>
        <c:crosses val="autoZero"/>
        <c:auto val="1"/>
        <c:lblAlgn val="ctr"/>
        <c:lblOffset val="100"/>
        <c:noMultiLvlLbl val="0"/>
      </c:catAx>
      <c:valAx>
        <c:axId val="7902645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2665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</xdr:row>
          <xdr:rowOff>175260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Generate P&amp;L Report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9</xdr:row>
      <xdr:rowOff>144780</xdr:rowOff>
    </xdr:from>
    <xdr:to>
      <xdr:col>6</xdr:col>
      <xdr:colOff>518160</xdr:colOff>
      <xdr:row>29</xdr:row>
      <xdr:rowOff>43180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ABC5C7A-9564-4166-0ED2-596F0F738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416560</xdr:colOff>
      <xdr:row>9</xdr:row>
      <xdr:rowOff>144780</xdr:rowOff>
    </xdr:from>
    <xdr:to>
      <xdr:col>16</xdr:col>
      <xdr:colOff>645160</xdr:colOff>
      <xdr:row>29</xdr:row>
      <xdr:rowOff>43180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F73E8E1-1A27-D764-B4E8-2672BD41A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31</xdr:row>
      <xdr:rowOff>58420</xdr:rowOff>
    </xdr:from>
    <xdr:to>
      <xdr:col>6</xdr:col>
      <xdr:colOff>518160</xdr:colOff>
      <xdr:row>50</xdr:row>
      <xdr:rowOff>139700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84DCD15-AB98-AB83-7909-9DECCEC02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416560</xdr:colOff>
      <xdr:row>31</xdr:row>
      <xdr:rowOff>58420</xdr:rowOff>
    </xdr:from>
    <xdr:to>
      <xdr:col>16</xdr:col>
      <xdr:colOff>645160</xdr:colOff>
      <xdr:row>50</xdr:row>
      <xdr:rowOff>139700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B73B589-612C-B61A-8383-3A0E03304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25.209081365741" createdVersion="3" refreshedVersion="8" minRefreshableVersion="3" recordCount="51" xr:uid="{560F7A0C-39F0-4AE2-9E66-37D2B69C7897}">
  <cacheSource type="worksheet">
    <worksheetSource ref="A1:G52" sheet="DataCleaned"/>
  </cacheSource>
  <cacheFields count="7">
    <cacheField name="Date" numFmtId="164">
      <sharedItems containsSemiMixedTypes="0" containsNonDate="0" containsDate="1" containsString="0" minDate="2025-01-01T00:00:00" maxDate="2025-12-03T00:00:00"/>
    </cacheField>
    <cacheField name="Month" numFmtId="17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4-01T00:00:00"/>
      </sharedItems>
    </cacheField>
    <cacheField name="Description" numFmtId="0">
      <sharedItems/>
    </cacheField>
    <cacheField name="Category" numFmtId="0">
      <sharedItems count="7">
        <s v="Revenue"/>
        <s v="Salary Expense"/>
        <s v="Rent"/>
        <s v="Utilities"/>
        <s v="Marketing"/>
        <s v="Office Supplies"/>
        <s v="Other"/>
      </sharedItems>
    </cacheField>
    <cacheField name="SubCategory" numFmtId="0">
      <sharedItems containsNonDate="0" containsString="0" containsBlank="1"/>
    </cacheField>
    <cacheField name="Amount" numFmtId="4">
      <sharedItems containsSemiMixedTypes="0" containsString="0" containsNumber="1" containsInteger="1" minValue="85" maxValue="25000"/>
    </cacheField>
    <cacheField name="Type" numFmtId="0">
      <sharedItems count="2">
        <s v="Income"/>
        <s v="Expen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d v="2025-01-01T00:00:00"/>
    <x v="0"/>
    <s v="Product Sales - Widget A"/>
    <x v="0"/>
    <m/>
    <n v="15000"/>
    <x v="0"/>
  </r>
  <r>
    <d v="2025-01-01T00:00:00"/>
    <x v="0"/>
    <s v="Service Revenue - Consulting"/>
    <x v="0"/>
    <m/>
    <n v="8500"/>
    <x v="0"/>
  </r>
  <r>
    <d v="2025-02-01T00:00:00"/>
    <x v="1"/>
    <s v="Employee Salaries - January"/>
    <x v="1"/>
    <m/>
    <n v="25000"/>
    <x v="1"/>
  </r>
  <r>
    <d v="2025-03-01T00:00:00"/>
    <x v="2"/>
    <s v="Office Rent - January"/>
    <x v="2"/>
    <m/>
    <n v="3500"/>
    <x v="1"/>
  </r>
  <r>
    <d v="2025-05-01T00:00:00"/>
    <x v="3"/>
    <s v="Product Sales - Widget B"/>
    <x v="0"/>
    <m/>
    <n v="12000"/>
    <x v="0"/>
  </r>
  <r>
    <d v="2025-06-01T00:00:00"/>
    <x v="4"/>
    <s v="Electricity Bill"/>
    <x v="3"/>
    <m/>
    <n v="450"/>
    <x v="1"/>
  </r>
  <r>
    <d v="2025-07-01T00:00:00"/>
    <x v="5"/>
    <s v="Google Ads Campaign"/>
    <x v="4"/>
    <m/>
    <n v="2500"/>
    <x v="1"/>
  </r>
  <r>
    <d v="2025-08-01T00:00:00"/>
    <x v="6"/>
    <s v="Product Sales - Widget C"/>
    <x v="0"/>
    <m/>
    <n v="9800"/>
    <x v="0"/>
  </r>
  <r>
    <d v="2025-09-01T00:00:00"/>
    <x v="7"/>
    <s v="Office Supplies - Stationery"/>
    <x v="5"/>
    <m/>
    <n v="320"/>
    <x v="1"/>
  </r>
  <r>
    <d v="2025-10-01T00:00:00"/>
    <x v="8"/>
    <s v="Internet and Phone"/>
    <x v="3"/>
    <m/>
    <n v="280"/>
    <x v="1"/>
  </r>
  <r>
    <d v="2025-11-01T00:00:00"/>
    <x v="9"/>
    <s v="Service Revenue - Training"/>
    <x v="0"/>
    <m/>
    <n v="5500"/>
    <x v="0"/>
  </r>
  <r>
    <d v="2025-12-01T00:00:00"/>
    <x v="10"/>
    <s v="Facebook Marketing"/>
    <x v="4"/>
    <m/>
    <n v="1800"/>
    <x v="1"/>
  </r>
  <r>
    <d v="2025-01-13T00:00:00"/>
    <x v="0"/>
    <s v="Product Sales - Widget A"/>
    <x v="0"/>
    <m/>
    <n v="18000"/>
    <x v="0"/>
  </r>
  <r>
    <d v="2025-01-14T00:00:00"/>
    <x v="0"/>
    <s v="Water Bill"/>
    <x v="3"/>
    <m/>
    <n v="120"/>
    <x v="1"/>
  </r>
  <r>
    <d v="2025-01-15T00:00:00"/>
    <x v="0"/>
    <s v="Software Subscriptions"/>
    <x v="6"/>
    <m/>
    <n v="890"/>
    <x v="1"/>
  </r>
  <r>
    <d v="2025-01-16T00:00:00"/>
    <x v="0"/>
    <s v="Product Sales - Widget D"/>
    <x v="0"/>
    <m/>
    <n v="14500"/>
    <x v="0"/>
  </r>
  <r>
    <d v="2025-01-17T00:00:00"/>
    <x v="0"/>
    <s v="Printer Supplies"/>
    <x v="5"/>
    <m/>
    <n v="245"/>
    <x v="1"/>
  </r>
  <r>
    <d v="2025-01-18T00:00:00"/>
    <x v="0"/>
    <s v="Service Revenue - Consulting"/>
    <x v="0"/>
    <m/>
    <n v="9200"/>
    <x v="0"/>
  </r>
  <r>
    <d v="2025-01-19T00:00:00"/>
    <x v="0"/>
    <s v="Website Hosting"/>
    <x v="6"/>
    <m/>
    <n v="150"/>
    <x v="1"/>
  </r>
  <r>
    <d v="2025-01-20T00:00:00"/>
    <x v="0"/>
    <s v="Product Sales - Widget B"/>
    <x v="0"/>
    <m/>
    <n v="13500"/>
    <x v="0"/>
  </r>
  <r>
    <d v="2025-01-21T00:00:00"/>
    <x v="0"/>
    <s v="Travel Expenses"/>
    <x v="6"/>
    <m/>
    <n v="1200"/>
    <x v="1"/>
  </r>
  <r>
    <d v="2025-01-22T00:00:00"/>
    <x v="0"/>
    <s v="Product Sales - Widget A"/>
    <x v="0"/>
    <m/>
    <n v="16500"/>
    <x v="0"/>
  </r>
  <r>
    <d v="2025-01-23T00:00:00"/>
    <x v="0"/>
    <s v="LinkedIn Advertising"/>
    <x v="4"/>
    <m/>
    <n v="950"/>
    <x v="1"/>
  </r>
  <r>
    <d v="2025-01-24T00:00:00"/>
    <x v="0"/>
    <s v="Office Equipment Maintenance"/>
    <x v="6"/>
    <m/>
    <n v="450"/>
    <x v="1"/>
  </r>
  <r>
    <d v="2025-01-25T00:00:00"/>
    <x v="0"/>
    <s v="Service Revenue - Support"/>
    <x v="0"/>
    <m/>
    <n v="4800"/>
    <x v="0"/>
  </r>
  <r>
    <d v="2025-01-26T00:00:00"/>
    <x v="0"/>
    <s v="Product Sales - Widget C"/>
    <x v="0"/>
    <m/>
    <n v="11200"/>
    <x v="0"/>
  </r>
  <r>
    <d v="2025-01-27T00:00:00"/>
    <x v="0"/>
    <s v="Cleaning Services"/>
    <x v="6"/>
    <m/>
    <n v="300"/>
    <x v="1"/>
  </r>
  <r>
    <d v="2025-01-28T00:00:00"/>
    <x v="0"/>
    <s v="Product Sales - Widget E"/>
    <x v="0"/>
    <m/>
    <n v="19500"/>
    <x v="0"/>
  </r>
  <r>
    <d v="2025-01-29T00:00:00"/>
    <x v="0"/>
    <s v="Insurance Premium"/>
    <x v="6"/>
    <m/>
    <n v="1500"/>
    <x v="1"/>
  </r>
  <r>
    <d v="2025-01-30T00:00:00"/>
    <x v="0"/>
    <s v="Service Revenue - Consulting"/>
    <x v="0"/>
    <m/>
    <n v="7800"/>
    <x v="0"/>
  </r>
  <r>
    <d v="2025-01-31T00:00:00"/>
    <x v="0"/>
    <s v="Bank Fees"/>
    <x v="6"/>
    <m/>
    <n v="85"/>
    <x v="1"/>
  </r>
  <r>
    <d v="2025-01-02T00:00:00"/>
    <x v="0"/>
    <s v="Product Sales - Widget A"/>
    <x v="0"/>
    <m/>
    <n v="17200"/>
    <x v="0"/>
  </r>
  <r>
    <d v="2025-02-02T00:00:00"/>
    <x v="1"/>
    <s v="Employee Salaries - February"/>
    <x v="1"/>
    <m/>
    <n v="25000"/>
    <x v="1"/>
  </r>
  <r>
    <d v="2025-03-02T00:00:00"/>
    <x v="2"/>
    <s v="Office Rent - February"/>
    <x v="2"/>
    <m/>
    <n v="3500"/>
    <x v="1"/>
  </r>
  <r>
    <d v="2025-04-02T00:00:00"/>
    <x v="11"/>
    <s v="Product Sales - Widget B"/>
    <x v="0"/>
    <m/>
    <n v="13800"/>
    <x v="0"/>
  </r>
  <r>
    <d v="2025-05-02T00:00:00"/>
    <x v="3"/>
    <s v="Electricity Bill"/>
    <x v="3"/>
    <m/>
    <n v="475"/>
    <x v="1"/>
  </r>
  <r>
    <d v="2025-06-02T00:00:00"/>
    <x v="4"/>
    <s v="SEO Services"/>
    <x v="4"/>
    <m/>
    <n v="1200"/>
    <x v="1"/>
  </r>
  <r>
    <d v="2025-07-02T00:00:00"/>
    <x v="5"/>
    <s v="Service Revenue - Training"/>
    <x v="0"/>
    <m/>
    <n v="6200"/>
    <x v="0"/>
  </r>
  <r>
    <d v="2025-08-02T00:00:00"/>
    <x v="6"/>
    <s v="Product Sales - Widget C"/>
    <x v="0"/>
    <m/>
    <n v="10500"/>
    <x v="0"/>
  </r>
  <r>
    <d v="2025-09-02T00:00:00"/>
    <x v="7"/>
    <s v="Office Furniture"/>
    <x v="5"/>
    <m/>
    <n v="2800"/>
    <x v="1"/>
  </r>
  <r>
    <d v="2025-10-02T00:00:00"/>
    <x v="8"/>
    <s v="Internet and Phone"/>
    <x v="3"/>
    <m/>
    <n v="280"/>
    <x v="1"/>
  </r>
  <r>
    <d v="2025-11-02T00:00:00"/>
    <x v="9"/>
    <s v="Product Sales - Widget D"/>
    <x v="0"/>
    <m/>
    <n v="15800"/>
    <x v="0"/>
  </r>
  <r>
    <d v="2025-12-02T00:00:00"/>
    <x v="10"/>
    <s v="Email Marketing Platform"/>
    <x v="4"/>
    <m/>
    <n v="450"/>
    <x v="1"/>
  </r>
  <r>
    <d v="2025-02-13T00:00:00"/>
    <x v="1"/>
    <s v="Service Revenue - Consulting"/>
    <x v="0"/>
    <m/>
    <n v="8900"/>
    <x v="0"/>
  </r>
  <r>
    <d v="2025-02-14T00:00:00"/>
    <x v="1"/>
    <s v="Water Bill"/>
    <x v="3"/>
    <m/>
    <n v="125"/>
    <x v="1"/>
  </r>
  <r>
    <d v="2025-02-15T00:00:00"/>
    <x v="1"/>
    <s v="Cloud Storage"/>
    <x v="6"/>
    <m/>
    <n v="200"/>
    <x v="1"/>
  </r>
  <r>
    <d v="2025-02-16T00:00:00"/>
    <x v="1"/>
    <s v="Product Sales - Widget A"/>
    <x v="0"/>
    <m/>
    <n v="19000"/>
    <x v="0"/>
  </r>
  <r>
    <d v="2025-02-17T00:00:00"/>
    <x v="1"/>
    <s v="Legal Fees"/>
    <x v="6"/>
    <m/>
    <n v="3500"/>
    <x v="1"/>
  </r>
  <r>
    <d v="2025-02-18T00:00:00"/>
    <x v="1"/>
    <s v="Product Sales - Widget E"/>
    <x v="0"/>
    <m/>
    <n v="21000"/>
    <x v="0"/>
  </r>
  <r>
    <d v="2025-02-19T00:00:00"/>
    <x v="1"/>
    <s v="Trade Show Booth"/>
    <x v="4"/>
    <m/>
    <n v="4500"/>
    <x v="1"/>
  </r>
  <r>
    <d v="2025-02-20T00:00:00"/>
    <x v="1"/>
    <s v="Service Revenue - Support"/>
    <x v="0"/>
    <m/>
    <n v="51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1C6CE-ED31-4DA1-871C-98049A9F799A}" name="PivotTable1" cacheId="95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A3:N14" firstHeaderRow="1" firstDataRow="2" firstDataCol="1"/>
  <pivotFields count="7">
    <pivotField numFmtId="164" showAll="0"/>
    <pivotField axis="axisCol" numFmtId="17" showAll="0">
      <items count="13">
        <item x="0"/>
        <item x="1"/>
        <item x="2"/>
        <item x="11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8">
        <item x="4"/>
        <item x="5"/>
        <item x="6"/>
        <item x="2"/>
        <item x="0"/>
        <item x="1"/>
        <item x="3"/>
        <item t="default"/>
      </items>
    </pivotField>
    <pivotField showAll="0"/>
    <pivotField dataField="1" numFmtId="4" showAll="0"/>
    <pivotField axis="axisRow" showAll="0">
      <items count="3">
        <item x="1"/>
        <item x="0"/>
        <item t="default"/>
      </items>
    </pivotField>
  </pivotFields>
  <rowFields count="2">
    <field x="6"/>
    <field x="3"/>
  </rowFields>
  <rowItems count="10">
    <i>
      <x/>
    </i>
    <i r="1">
      <x/>
    </i>
    <i r="1">
      <x v="1"/>
    </i>
    <i r="1">
      <x v="2"/>
    </i>
    <i r="1">
      <x v="3"/>
    </i>
    <i r="1">
      <x v="5"/>
    </i>
    <i r="1">
      <x v="6"/>
    </i>
    <i>
      <x v="1"/>
    </i>
    <i r="1">
      <x v="4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5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B6A8-71A8-40AD-BC65-A5BB9101AE58}">
  <sheetPr codeName="Sheet1"/>
  <dimension ref="A1"/>
  <sheetViews>
    <sheetView workbookViewId="0">
      <selection activeCell="D10" sqref="D10"/>
    </sheetView>
  </sheetViews>
  <sheetFormatPr defaultRowHeight="14.4" x14ac:dyDescent="0.3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Button 3">
              <controlPr defaultSize="0" print="0" autoFill="0" autoPict="0" macro="[0]!GeneratePLReport">
                <anchor moveWithCells="1" sizeWithCells="1">
                  <from>
                    <xdr:col>1</xdr:col>
                    <xdr:colOff>0</xdr:colOff>
                    <xdr:row>1</xdr:row>
                    <xdr:rowOff>175260</xdr:rowOff>
                  </from>
                  <to>
                    <xdr:col>4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357A-A6CE-4C94-BC53-E9B3C7B05867}">
  <sheetPr codeName="Sheet2">
    <tabColor rgb="FF00B0F0"/>
  </sheetPr>
  <dimension ref="A1:S31"/>
  <sheetViews>
    <sheetView topLeftCell="A6" zoomScale="68" workbookViewId="0">
      <selection activeCell="H10" sqref="H10"/>
    </sheetView>
  </sheetViews>
  <sheetFormatPr defaultRowHeight="14.4" x14ac:dyDescent="0.3"/>
  <cols>
    <col min="1" max="1" width="35.88671875" bestFit="1" customWidth="1"/>
    <col min="17" max="17" width="13.88671875" bestFit="1" customWidth="1"/>
    <col min="18" max="18" width="7.5546875" bestFit="1" customWidth="1"/>
    <col min="19" max="19" width="7.77734375" bestFit="1" customWidth="1"/>
  </cols>
  <sheetData>
    <row r="1" spans="1:19" ht="23.4" x14ac:dyDescent="0.45">
      <c r="A1" s="14" t="s">
        <v>87</v>
      </c>
    </row>
    <row r="2" spans="1:19" x14ac:dyDescent="0.3">
      <c r="A2" s="15" t="s">
        <v>90</v>
      </c>
    </row>
    <row r="4" spans="1:19" x14ac:dyDescent="0.3">
      <c r="A4" s="16" t="s">
        <v>83</v>
      </c>
      <c r="B4" s="16"/>
      <c r="C4" s="16"/>
      <c r="E4" s="19" t="s">
        <v>85</v>
      </c>
      <c r="F4" s="19"/>
      <c r="G4" s="19"/>
      <c r="I4" s="20" t="s">
        <v>88</v>
      </c>
      <c r="J4" s="20"/>
      <c r="K4" s="20"/>
      <c r="M4" s="21" t="s">
        <v>89</v>
      </c>
      <c r="N4" s="21"/>
      <c r="O4" s="21"/>
      <c r="Q4" t="s">
        <v>74</v>
      </c>
      <c r="R4" t="s">
        <v>7</v>
      </c>
      <c r="S4" t="s">
        <v>11</v>
      </c>
    </row>
    <row r="5" spans="1:19" x14ac:dyDescent="0.3">
      <c r="A5" s="16"/>
      <c r="B5" s="16"/>
      <c r="C5" s="16"/>
      <c r="E5" s="19"/>
      <c r="F5" s="19"/>
      <c r="G5" s="19"/>
      <c r="I5" s="20"/>
      <c r="J5" s="20"/>
      <c r="K5" s="20"/>
      <c r="M5" s="21"/>
      <c r="N5" s="21"/>
      <c r="O5" s="21"/>
      <c r="Q5" s="1">
        <v>45658</v>
      </c>
      <c r="R5">
        <v>155700</v>
      </c>
      <c r="S5">
        <v>5890</v>
      </c>
    </row>
    <row r="6" spans="1:19" x14ac:dyDescent="0.3">
      <c r="A6" s="17">
        <v>283300</v>
      </c>
      <c r="B6" s="18"/>
      <c r="C6" s="18"/>
      <c r="E6" s="17">
        <v>81770</v>
      </c>
      <c r="F6" s="18"/>
      <c r="G6" s="18"/>
      <c r="I6" s="17">
        <v>201530</v>
      </c>
      <c r="J6" s="18"/>
      <c r="K6" s="18"/>
      <c r="M6" s="22">
        <v>0.71099999999999997</v>
      </c>
      <c r="N6" s="18"/>
      <c r="O6" s="18"/>
      <c r="Q6" s="1">
        <v>45659</v>
      </c>
      <c r="R6">
        <v>54000</v>
      </c>
      <c r="S6">
        <v>58325</v>
      </c>
    </row>
    <row r="7" spans="1:19" x14ac:dyDescent="0.3">
      <c r="A7" s="18"/>
      <c r="B7" s="18"/>
      <c r="C7" s="18"/>
      <c r="E7" s="18"/>
      <c r="F7" s="18"/>
      <c r="G7" s="18"/>
      <c r="I7" s="18"/>
      <c r="J7" s="18"/>
      <c r="K7" s="18"/>
      <c r="M7" s="18"/>
      <c r="N7" s="18"/>
      <c r="O7" s="18"/>
      <c r="Q7" s="1">
        <v>45660</v>
      </c>
      <c r="R7">
        <v>0</v>
      </c>
      <c r="S7">
        <v>7000</v>
      </c>
    </row>
    <row r="8" spans="1:19" x14ac:dyDescent="0.3">
      <c r="Q8" s="1">
        <v>45662</v>
      </c>
      <c r="R8">
        <v>12000</v>
      </c>
      <c r="S8">
        <v>475</v>
      </c>
    </row>
    <row r="9" spans="1:19" x14ac:dyDescent="0.3">
      <c r="Q9" s="1">
        <v>45663</v>
      </c>
      <c r="R9">
        <v>0</v>
      </c>
      <c r="S9">
        <v>1650</v>
      </c>
    </row>
    <row r="10" spans="1:19" x14ac:dyDescent="0.3">
      <c r="Q10" s="1">
        <v>45664</v>
      </c>
      <c r="R10">
        <v>6200</v>
      </c>
      <c r="S10">
        <v>2500</v>
      </c>
    </row>
    <row r="11" spans="1:19" x14ac:dyDescent="0.3">
      <c r="Q11" s="1">
        <v>45665</v>
      </c>
      <c r="R11">
        <v>20300</v>
      </c>
      <c r="S11">
        <v>0</v>
      </c>
    </row>
    <row r="12" spans="1:19" x14ac:dyDescent="0.3">
      <c r="Q12" s="1">
        <v>45666</v>
      </c>
      <c r="R12">
        <v>0</v>
      </c>
      <c r="S12">
        <v>3120</v>
      </c>
    </row>
    <row r="13" spans="1:19" x14ac:dyDescent="0.3">
      <c r="Q13" s="1">
        <v>45667</v>
      </c>
      <c r="R13">
        <v>0</v>
      </c>
      <c r="S13">
        <v>560</v>
      </c>
    </row>
    <row r="14" spans="1:19" x14ac:dyDescent="0.3">
      <c r="Q14" s="1">
        <v>45668</v>
      </c>
      <c r="R14">
        <v>21300</v>
      </c>
      <c r="S14">
        <v>0</v>
      </c>
    </row>
    <row r="15" spans="1:19" x14ac:dyDescent="0.3">
      <c r="Q15" s="1">
        <v>45669</v>
      </c>
      <c r="R15">
        <v>0</v>
      </c>
      <c r="S15">
        <v>2250</v>
      </c>
    </row>
    <row r="16" spans="1:19" x14ac:dyDescent="0.3">
      <c r="Q16" s="1">
        <v>45661</v>
      </c>
      <c r="R16">
        <v>13800</v>
      </c>
      <c r="S16">
        <v>0</v>
      </c>
    </row>
    <row r="25" spans="17:18" x14ac:dyDescent="0.3">
      <c r="Q25" t="s">
        <v>2</v>
      </c>
      <c r="R25" t="s">
        <v>3</v>
      </c>
    </row>
    <row r="26" spans="17:18" x14ac:dyDescent="0.3">
      <c r="Q26" t="s">
        <v>10</v>
      </c>
      <c r="R26">
        <v>50000</v>
      </c>
    </row>
    <row r="27" spans="17:18" x14ac:dyDescent="0.3">
      <c r="Q27" t="s">
        <v>13</v>
      </c>
      <c r="R27">
        <v>7000</v>
      </c>
    </row>
    <row r="28" spans="17:18" x14ac:dyDescent="0.3">
      <c r="Q28" t="s">
        <v>16</v>
      </c>
      <c r="R28">
        <v>1730</v>
      </c>
    </row>
    <row r="29" spans="17:18" x14ac:dyDescent="0.3">
      <c r="Q29" t="s">
        <v>18</v>
      </c>
      <c r="R29">
        <v>11400</v>
      </c>
    </row>
    <row r="30" spans="17:18" x14ac:dyDescent="0.3">
      <c r="Q30" t="s">
        <v>21</v>
      </c>
      <c r="R30">
        <v>3365</v>
      </c>
    </row>
    <row r="31" spans="17:18" x14ac:dyDescent="0.3">
      <c r="Q31" t="s">
        <v>30</v>
      </c>
      <c r="R31">
        <v>8275</v>
      </c>
    </row>
  </sheetData>
  <mergeCells count="8">
    <mergeCell ref="M4:O5"/>
    <mergeCell ref="M6:O7"/>
    <mergeCell ref="A4:C5"/>
    <mergeCell ref="A6:C7"/>
    <mergeCell ref="E4:G5"/>
    <mergeCell ref="E6:G7"/>
    <mergeCell ref="I4:K5"/>
    <mergeCell ref="I6:K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8411-02EF-4DE2-A9E0-CAA3DBF51F8B}">
  <sheetPr codeName="Sheet3"/>
  <dimension ref="A1:B18"/>
  <sheetViews>
    <sheetView zoomScale="122" workbookViewId="0"/>
  </sheetViews>
  <sheetFormatPr defaultRowHeight="14.4" x14ac:dyDescent="0.3"/>
  <cols>
    <col min="1" max="1" width="36.21875" bestFit="1" customWidth="1"/>
    <col min="2" max="2" width="11.6640625" style="12" bestFit="1" customWidth="1"/>
  </cols>
  <sheetData>
    <row r="1" spans="1:2" ht="21" x14ac:dyDescent="0.4">
      <c r="A1" s="11" t="s">
        <v>80</v>
      </c>
    </row>
    <row r="2" spans="1:2" x14ac:dyDescent="0.3">
      <c r="A2" t="s">
        <v>81</v>
      </c>
    </row>
    <row r="4" spans="1:2" x14ac:dyDescent="0.3">
      <c r="A4" t="s">
        <v>90</v>
      </c>
    </row>
    <row r="6" spans="1:2" x14ac:dyDescent="0.3">
      <c r="A6" s="2" t="s">
        <v>82</v>
      </c>
    </row>
    <row r="7" spans="1:2" x14ac:dyDescent="0.3">
      <c r="A7" t="s">
        <v>83</v>
      </c>
      <c r="B7" s="13">
        <f>SUMIFS(DataCleaned!F:F,DataCleaned!G:G,"Income")</f>
        <v>283300</v>
      </c>
    </row>
    <row r="9" spans="1:2" x14ac:dyDescent="0.3">
      <c r="A9" s="2" t="s">
        <v>84</v>
      </c>
    </row>
    <row r="10" spans="1:2" x14ac:dyDescent="0.3">
      <c r="A10" t="s">
        <v>10</v>
      </c>
      <c r="B10" s="12">
        <f>SUMIFS(DataCleaned!F:F,DataCleaned!G:G,"Expense",DataCleaned!D:D,"Salary Expense")</f>
        <v>50000</v>
      </c>
    </row>
    <row r="11" spans="1:2" x14ac:dyDescent="0.3">
      <c r="A11" t="s">
        <v>13</v>
      </c>
      <c r="B11" s="12">
        <f>SUMIFS(DataCleaned!F:F,DataCleaned!G:G,"Expense",DataCleaned!D:D,"Rent")</f>
        <v>7000</v>
      </c>
    </row>
    <row r="12" spans="1:2" x14ac:dyDescent="0.3">
      <c r="A12" t="s">
        <v>16</v>
      </c>
      <c r="B12" s="12">
        <f>SUMIFS(DataCleaned!F:F,DataCleaned!G:G,"Expense",DataCleaned!D:D,"Utilities")</f>
        <v>1730</v>
      </c>
    </row>
    <row r="13" spans="1:2" x14ac:dyDescent="0.3">
      <c r="A13" t="s">
        <v>18</v>
      </c>
      <c r="B13" s="12">
        <f>SUMIFS(DataCleaned!F:F,DataCleaned!G:G,"Expense",DataCleaned!D:D,"Marketing")</f>
        <v>11400</v>
      </c>
    </row>
    <row r="14" spans="1:2" x14ac:dyDescent="0.3">
      <c r="A14" t="s">
        <v>21</v>
      </c>
      <c r="B14" s="12">
        <f>SUMIFS(DataCleaned!F:F,DataCleaned!G:G,"Expense",DataCleaned!D:D,"Office Supplies")</f>
        <v>3365</v>
      </c>
    </row>
    <row r="15" spans="1:2" x14ac:dyDescent="0.3">
      <c r="A15" t="s">
        <v>30</v>
      </c>
      <c r="B15" s="12">
        <f>SUMIFS(DataCleaned!F:F,DataCleaned!G:G,"Expense",DataCleaned!D:D,"Other")</f>
        <v>8275</v>
      </c>
    </row>
    <row r="16" spans="1:2" x14ac:dyDescent="0.3">
      <c r="A16" t="s">
        <v>85</v>
      </c>
      <c r="B16" s="13">
        <f>SUMIFS(DataCleaned!F:F,DataCleaned!G:G,"Expense")</f>
        <v>81770</v>
      </c>
    </row>
    <row r="18" spans="1:2" x14ac:dyDescent="0.3">
      <c r="A18" s="2" t="s">
        <v>86</v>
      </c>
      <c r="B18" s="13">
        <f>B7-B16</f>
        <v>201530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341C-6CD7-497D-9F4D-0917600B7A46}">
  <sheetPr codeName="Sheet4"/>
  <dimension ref="A3:N14"/>
  <sheetViews>
    <sheetView zoomScale="98" workbookViewId="0"/>
  </sheetViews>
  <sheetFormatPr defaultRowHeight="14.4" x14ac:dyDescent="0.3"/>
  <cols>
    <col min="1" max="1" width="17.44140625" bestFit="1" customWidth="1"/>
    <col min="2" max="2" width="15.88671875" bestFit="1" customWidth="1"/>
    <col min="3" max="3" width="10.88671875" bestFit="1" customWidth="1"/>
    <col min="4" max="4" width="8.21875" bestFit="1" customWidth="1"/>
    <col min="5" max="6" width="9.33203125" bestFit="1" customWidth="1"/>
    <col min="7" max="8" width="8.21875" bestFit="1" customWidth="1"/>
    <col min="9" max="9" width="9.33203125" bestFit="1" customWidth="1"/>
    <col min="10" max="10" width="8.21875" bestFit="1" customWidth="1"/>
    <col min="11" max="11" width="6.6640625" bestFit="1" customWidth="1"/>
    <col min="12" max="12" width="9.33203125" bestFit="1" customWidth="1"/>
    <col min="13" max="13" width="8.21875" bestFit="1" customWidth="1"/>
    <col min="14" max="14" width="11" bestFit="1" customWidth="1"/>
  </cols>
  <sheetData>
    <row r="3" spans="1:14" x14ac:dyDescent="0.3">
      <c r="A3" s="8" t="s">
        <v>79</v>
      </c>
      <c r="B3" s="8" t="s">
        <v>76</v>
      </c>
    </row>
    <row r="4" spans="1:14" x14ac:dyDescent="0.3">
      <c r="A4" s="8" t="s">
        <v>78</v>
      </c>
      <c r="B4" s="3">
        <v>45658</v>
      </c>
      <c r="C4" s="3">
        <v>45689</v>
      </c>
      <c r="D4" s="3">
        <v>45717</v>
      </c>
      <c r="E4" s="3">
        <v>45748</v>
      </c>
      <c r="F4" s="3">
        <v>45778</v>
      </c>
      <c r="G4" s="3">
        <v>45809</v>
      </c>
      <c r="H4" s="3">
        <v>45839</v>
      </c>
      <c r="I4" s="3">
        <v>45870</v>
      </c>
      <c r="J4" s="3">
        <v>45901</v>
      </c>
      <c r="K4" s="3">
        <v>45931</v>
      </c>
      <c r="L4" s="3">
        <v>45962</v>
      </c>
      <c r="M4" s="3">
        <v>45992</v>
      </c>
      <c r="N4" s="3" t="s">
        <v>77</v>
      </c>
    </row>
    <row r="5" spans="1:14" x14ac:dyDescent="0.3">
      <c r="A5" s="9" t="s">
        <v>11</v>
      </c>
      <c r="B5" s="7">
        <v>5890</v>
      </c>
      <c r="C5" s="7">
        <v>58325</v>
      </c>
      <c r="D5" s="7">
        <v>7000</v>
      </c>
      <c r="E5" s="7"/>
      <c r="F5" s="7">
        <v>475</v>
      </c>
      <c r="G5" s="7">
        <v>1650</v>
      </c>
      <c r="H5" s="7">
        <v>2500</v>
      </c>
      <c r="I5" s="7"/>
      <c r="J5" s="7">
        <v>3120</v>
      </c>
      <c r="K5" s="7">
        <v>560</v>
      </c>
      <c r="L5" s="7"/>
      <c r="M5" s="7">
        <v>2250</v>
      </c>
      <c r="N5" s="7">
        <v>81770</v>
      </c>
    </row>
    <row r="6" spans="1:14" x14ac:dyDescent="0.3">
      <c r="A6" s="10" t="s">
        <v>18</v>
      </c>
      <c r="B6" s="7">
        <v>950</v>
      </c>
      <c r="C6" s="7">
        <v>4500</v>
      </c>
      <c r="D6" s="7"/>
      <c r="E6" s="7"/>
      <c r="F6" s="7"/>
      <c r="G6" s="7">
        <v>1200</v>
      </c>
      <c r="H6" s="7">
        <v>2500</v>
      </c>
      <c r="I6" s="7"/>
      <c r="J6" s="7"/>
      <c r="K6" s="7"/>
      <c r="L6" s="7"/>
      <c r="M6" s="7">
        <v>2250</v>
      </c>
      <c r="N6" s="7">
        <v>11400</v>
      </c>
    </row>
    <row r="7" spans="1:14" x14ac:dyDescent="0.3">
      <c r="A7" s="10" t="s">
        <v>21</v>
      </c>
      <c r="B7" s="7">
        <v>245</v>
      </c>
      <c r="C7" s="7"/>
      <c r="D7" s="7"/>
      <c r="E7" s="7"/>
      <c r="F7" s="7"/>
      <c r="G7" s="7"/>
      <c r="H7" s="7"/>
      <c r="I7" s="7"/>
      <c r="J7" s="7">
        <v>3120</v>
      </c>
      <c r="K7" s="7"/>
      <c r="L7" s="7"/>
      <c r="M7" s="7"/>
      <c r="N7" s="7">
        <v>3365</v>
      </c>
    </row>
    <row r="8" spans="1:14" x14ac:dyDescent="0.3">
      <c r="A8" s="10" t="s">
        <v>30</v>
      </c>
      <c r="B8" s="7">
        <v>4575</v>
      </c>
      <c r="C8" s="7">
        <v>3700</v>
      </c>
      <c r="D8" s="7"/>
      <c r="E8" s="7"/>
      <c r="F8" s="7"/>
      <c r="G8" s="7"/>
      <c r="H8" s="7"/>
      <c r="I8" s="7"/>
      <c r="J8" s="7"/>
      <c r="K8" s="7"/>
      <c r="L8" s="7"/>
      <c r="M8" s="7"/>
      <c r="N8" s="7">
        <v>8275</v>
      </c>
    </row>
    <row r="9" spans="1:14" x14ac:dyDescent="0.3">
      <c r="A9" s="10" t="s">
        <v>13</v>
      </c>
      <c r="B9" s="7"/>
      <c r="C9" s="7"/>
      <c r="D9" s="7">
        <v>7000</v>
      </c>
      <c r="E9" s="7"/>
      <c r="F9" s="7"/>
      <c r="G9" s="7"/>
      <c r="H9" s="7"/>
      <c r="I9" s="7"/>
      <c r="J9" s="7"/>
      <c r="K9" s="7"/>
      <c r="L9" s="7"/>
      <c r="M9" s="7"/>
      <c r="N9" s="7">
        <v>7000</v>
      </c>
    </row>
    <row r="10" spans="1:14" x14ac:dyDescent="0.3">
      <c r="A10" s="10" t="s">
        <v>10</v>
      </c>
      <c r="B10" s="7"/>
      <c r="C10" s="7">
        <v>50000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>
        <v>50000</v>
      </c>
    </row>
    <row r="11" spans="1:14" x14ac:dyDescent="0.3">
      <c r="A11" s="10" t="s">
        <v>16</v>
      </c>
      <c r="B11" s="7">
        <v>120</v>
      </c>
      <c r="C11" s="7">
        <v>125</v>
      </c>
      <c r="D11" s="7"/>
      <c r="E11" s="7"/>
      <c r="F11" s="7">
        <v>475</v>
      </c>
      <c r="G11" s="7">
        <v>450</v>
      </c>
      <c r="H11" s="7"/>
      <c r="I11" s="7"/>
      <c r="J11" s="7"/>
      <c r="K11" s="7">
        <v>560</v>
      </c>
      <c r="L11" s="7"/>
      <c r="M11" s="7"/>
      <c r="N11" s="7">
        <v>1730</v>
      </c>
    </row>
    <row r="12" spans="1:14" x14ac:dyDescent="0.3">
      <c r="A12" s="9" t="s">
        <v>7</v>
      </c>
      <c r="B12" s="7">
        <v>155700</v>
      </c>
      <c r="C12" s="7">
        <v>54000</v>
      </c>
      <c r="D12" s="7"/>
      <c r="E12" s="7">
        <v>13800</v>
      </c>
      <c r="F12" s="7">
        <v>12000</v>
      </c>
      <c r="G12" s="7"/>
      <c r="H12" s="7">
        <v>6200</v>
      </c>
      <c r="I12" s="7">
        <v>20300</v>
      </c>
      <c r="J12" s="7"/>
      <c r="K12" s="7"/>
      <c r="L12" s="7">
        <v>21300</v>
      </c>
      <c r="M12" s="7"/>
      <c r="N12" s="7">
        <v>283300</v>
      </c>
    </row>
    <row r="13" spans="1:14" x14ac:dyDescent="0.3">
      <c r="A13" s="10" t="s">
        <v>6</v>
      </c>
      <c r="B13" s="7">
        <v>155700</v>
      </c>
      <c r="C13" s="7">
        <v>54000</v>
      </c>
      <c r="D13" s="7"/>
      <c r="E13" s="7">
        <v>13800</v>
      </c>
      <c r="F13" s="7">
        <v>12000</v>
      </c>
      <c r="G13" s="7"/>
      <c r="H13" s="7">
        <v>6200</v>
      </c>
      <c r="I13" s="7">
        <v>20300</v>
      </c>
      <c r="J13" s="7"/>
      <c r="K13" s="7"/>
      <c r="L13" s="7">
        <v>21300</v>
      </c>
      <c r="M13" s="7"/>
      <c r="N13" s="7">
        <v>283300</v>
      </c>
    </row>
    <row r="14" spans="1:14" x14ac:dyDescent="0.3">
      <c r="A14" s="9" t="s">
        <v>77</v>
      </c>
      <c r="B14" s="7">
        <v>161590</v>
      </c>
      <c r="C14" s="7">
        <v>112325</v>
      </c>
      <c r="D14" s="7">
        <v>7000</v>
      </c>
      <c r="E14" s="7">
        <v>13800</v>
      </c>
      <c r="F14" s="7">
        <v>12475</v>
      </c>
      <c r="G14" s="7">
        <v>1650</v>
      </c>
      <c r="H14" s="7">
        <v>8700</v>
      </c>
      <c r="I14" s="7">
        <v>20300</v>
      </c>
      <c r="J14" s="7">
        <v>3120</v>
      </c>
      <c r="K14" s="7">
        <v>560</v>
      </c>
      <c r="L14" s="7">
        <v>21300</v>
      </c>
      <c r="M14" s="7">
        <v>2250</v>
      </c>
      <c r="N14" s="7">
        <v>365070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717D-51A3-4257-AB8E-9B934D60C72C}">
  <sheetPr codeName="Sheet5"/>
  <dimension ref="A1:G52"/>
  <sheetViews>
    <sheetView topLeftCell="A16" workbookViewId="0"/>
  </sheetViews>
  <sheetFormatPr defaultRowHeight="14.4" x14ac:dyDescent="0.3"/>
  <cols>
    <col min="1" max="1" width="10.33203125" style="5" bestFit="1" customWidth="1"/>
    <col min="2" max="2" width="7.21875" bestFit="1" customWidth="1"/>
    <col min="3" max="3" width="26.6640625" bestFit="1" customWidth="1"/>
    <col min="4" max="4" width="13.109375" bestFit="1" customWidth="1"/>
    <col min="5" max="5" width="11.77734375" bestFit="1" customWidth="1"/>
    <col min="6" max="6" width="9" style="7" bestFit="1" customWidth="1"/>
    <col min="7" max="7" width="7.6640625" bestFit="1" customWidth="1"/>
  </cols>
  <sheetData>
    <row r="1" spans="1:7" x14ac:dyDescent="0.3">
      <c r="A1" s="4" t="s">
        <v>0</v>
      </c>
      <c r="B1" s="2" t="s">
        <v>74</v>
      </c>
      <c r="C1" s="2" t="s">
        <v>1</v>
      </c>
      <c r="D1" s="2" t="s">
        <v>2</v>
      </c>
      <c r="E1" s="2" t="s">
        <v>75</v>
      </c>
      <c r="F1" s="6" t="s">
        <v>3</v>
      </c>
      <c r="G1" s="2" t="s">
        <v>4</v>
      </c>
    </row>
    <row r="2" spans="1:7" x14ac:dyDescent="0.3">
      <c r="A2" s="5">
        <v>45658</v>
      </c>
      <c r="B2" s="3">
        <v>45658</v>
      </c>
      <c r="C2" t="s">
        <v>5</v>
      </c>
      <c r="D2" t="s">
        <v>6</v>
      </c>
      <c r="F2" s="7">
        <v>15000</v>
      </c>
      <c r="G2" t="s">
        <v>7</v>
      </c>
    </row>
    <row r="3" spans="1:7" x14ac:dyDescent="0.3">
      <c r="A3" s="5">
        <v>45658</v>
      </c>
      <c r="B3" s="3">
        <v>45658</v>
      </c>
      <c r="C3" t="s">
        <v>8</v>
      </c>
      <c r="D3" t="s">
        <v>6</v>
      </c>
      <c r="F3" s="7">
        <v>8500</v>
      </c>
      <c r="G3" t="s">
        <v>7</v>
      </c>
    </row>
    <row r="4" spans="1:7" x14ac:dyDescent="0.3">
      <c r="A4" s="5">
        <v>45689</v>
      </c>
      <c r="B4" s="3">
        <v>45689</v>
      </c>
      <c r="C4" t="s">
        <v>9</v>
      </c>
      <c r="D4" t="s">
        <v>10</v>
      </c>
      <c r="F4" s="7">
        <v>25000</v>
      </c>
      <c r="G4" t="s">
        <v>11</v>
      </c>
    </row>
    <row r="5" spans="1:7" x14ac:dyDescent="0.3">
      <c r="A5" s="5">
        <v>45717</v>
      </c>
      <c r="B5" s="3">
        <v>45717</v>
      </c>
      <c r="C5" t="s">
        <v>12</v>
      </c>
      <c r="D5" t="s">
        <v>13</v>
      </c>
      <c r="F5" s="7">
        <v>3500</v>
      </c>
      <c r="G5" t="s">
        <v>11</v>
      </c>
    </row>
    <row r="6" spans="1:7" x14ac:dyDescent="0.3">
      <c r="A6" s="5">
        <v>45778</v>
      </c>
      <c r="B6" s="3">
        <v>45778</v>
      </c>
      <c r="C6" t="s">
        <v>14</v>
      </c>
      <c r="D6" t="s">
        <v>6</v>
      </c>
      <c r="F6" s="7">
        <v>12000</v>
      </c>
      <c r="G6" t="s">
        <v>7</v>
      </c>
    </row>
    <row r="7" spans="1:7" x14ac:dyDescent="0.3">
      <c r="A7" s="5">
        <v>45809</v>
      </c>
      <c r="B7" s="3">
        <v>45809</v>
      </c>
      <c r="C7" t="s">
        <v>15</v>
      </c>
      <c r="D7" t="s">
        <v>16</v>
      </c>
      <c r="F7" s="7">
        <v>450</v>
      </c>
      <c r="G7" t="s">
        <v>11</v>
      </c>
    </row>
    <row r="8" spans="1:7" x14ac:dyDescent="0.3">
      <c r="A8" s="5">
        <v>45839</v>
      </c>
      <c r="B8" s="3">
        <v>45839</v>
      </c>
      <c r="C8" t="s">
        <v>17</v>
      </c>
      <c r="D8" t="s">
        <v>18</v>
      </c>
      <c r="F8" s="7">
        <v>2500</v>
      </c>
      <c r="G8" t="s">
        <v>11</v>
      </c>
    </row>
    <row r="9" spans="1:7" x14ac:dyDescent="0.3">
      <c r="A9" s="5">
        <v>45870</v>
      </c>
      <c r="B9" s="3">
        <v>45870</v>
      </c>
      <c r="C9" t="s">
        <v>19</v>
      </c>
      <c r="D9" t="s">
        <v>6</v>
      </c>
      <c r="F9" s="7">
        <v>9800</v>
      </c>
      <c r="G9" t="s">
        <v>7</v>
      </c>
    </row>
    <row r="10" spans="1:7" x14ac:dyDescent="0.3">
      <c r="A10" s="5">
        <v>45901</v>
      </c>
      <c r="B10" s="3">
        <v>45901</v>
      </c>
      <c r="C10" t="s">
        <v>20</v>
      </c>
      <c r="D10" t="s">
        <v>21</v>
      </c>
      <c r="F10" s="7">
        <v>320</v>
      </c>
      <c r="G10" t="s">
        <v>11</v>
      </c>
    </row>
    <row r="11" spans="1:7" x14ac:dyDescent="0.3">
      <c r="A11" s="5">
        <v>45931</v>
      </c>
      <c r="B11" s="3">
        <v>45931</v>
      </c>
      <c r="C11" t="s">
        <v>22</v>
      </c>
      <c r="D11" t="s">
        <v>16</v>
      </c>
      <c r="F11" s="7">
        <v>280</v>
      </c>
      <c r="G11" t="s">
        <v>11</v>
      </c>
    </row>
    <row r="12" spans="1:7" x14ac:dyDescent="0.3">
      <c r="A12" s="5">
        <v>45962</v>
      </c>
      <c r="B12" s="3">
        <v>45962</v>
      </c>
      <c r="C12" t="s">
        <v>23</v>
      </c>
      <c r="D12" t="s">
        <v>6</v>
      </c>
      <c r="F12" s="7">
        <v>5500</v>
      </c>
      <c r="G12" t="s">
        <v>7</v>
      </c>
    </row>
    <row r="13" spans="1:7" x14ac:dyDescent="0.3">
      <c r="A13" s="5">
        <v>45992</v>
      </c>
      <c r="B13" s="3">
        <v>45992</v>
      </c>
      <c r="C13" t="s">
        <v>24</v>
      </c>
      <c r="D13" t="s">
        <v>18</v>
      </c>
      <c r="F13" s="7">
        <v>1800</v>
      </c>
      <c r="G13" t="s">
        <v>11</v>
      </c>
    </row>
    <row r="14" spans="1:7" x14ac:dyDescent="0.3">
      <c r="A14" s="5">
        <v>45670</v>
      </c>
      <c r="B14" s="3">
        <v>45658</v>
      </c>
      <c r="C14" t="s">
        <v>5</v>
      </c>
      <c r="D14" t="s">
        <v>6</v>
      </c>
      <c r="F14" s="7">
        <v>18000</v>
      </c>
      <c r="G14" t="s">
        <v>7</v>
      </c>
    </row>
    <row r="15" spans="1:7" x14ac:dyDescent="0.3">
      <c r="A15" s="5">
        <v>45671</v>
      </c>
      <c r="B15" s="3">
        <v>45658</v>
      </c>
      <c r="C15" t="s">
        <v>27</v>
      </c>
      <c r="D15" t="s">
        <v>16</v>
      </c>
      <c r="F15" s="7">
        <v>120</v>
      </c>
      <c r="G15" t="s">
        <v>11</v>
      </c>
    </row>
    <row r="16" spans="1:7" x14ac:dyDescent="0.3">
      <c r="A16" s="5">
        <v>45672</v>
      </c>
      <c r="B16" s="3">
        <v>45658</v>
      </c>
      <c r="C16" t="s">
        <v>29</v>
      </c>
      <c r="D16" t="s">
        <v>30</v>
      </c>
      <c r="F16" s="7">
        <v>890</v>
      </c>
      <c r="G16" t="s">
        <v>11</v>
      </c>
    </row>
    <row r="17" spans="1:7" x14ac:dyDescent="0.3">
      <c r="A17" s="5">
        <v>45673</v>
      </c>
      <c r="B17" s="3">
        <v>45658</v>
      </c>
      <c r="C17" t="s">
        <v>32</v>
      </c>
      <c r="D17" t="s">
        <v>6</v>
      </c>
      <c r="F17" s="7">
        <v>14500</v>
      </c>
      <c r="G17" t="s">
        <v>7</v>
      </c>
    </row>
    <row r="18" spans="1:7" x14ac:dyDescent="0.3">
      <c r="A18" s="5">
        <v>45674</v>
      </c>
      <c r="B18" s="3">
        <v>45658</v>
      </c>
      <c r="C18" t="s">
        <v>34</v>
      </c>
      <c r="D18" t="s">
        <v>21</v>
      </c>
      <c r="F18" s="7">
        <v>245</v>
      </c>
      <c r="G18" t="s">
        <v>11</v>
      </c>
    </row>
    <row r="19" spans="1:7" x14ac:dyDescent="0.3">
      <c r="A19" s="5">
        <v>45675</v>
      </c>
      <c r="B19" s="3">
        <v>45658</v>
      </c>
      <c r="C19" t="s">
        <v>8</v>
      </c>
      <c r="D19" t="s">
        <v>6</v>
      </c>
      <c r="F19" s="7">
        <v>9200</v>
      </c>
      <c r="G19" t="s">
        <v>7</v>
      </c>
    </row>
    <row r="20" spans="1:7" x14ac:dyDescent="0.3">
      <c r="A20" s="5">
        <v>45676</v>
      </c>
      <c r="B20" s="3">
        <v>45658</v>
      </c>
      <c r="C20" t="s">
        <v>37</v>
      </c>
      <c r="D20" t="s">
        <v>30</v>
      </c>
      <c r="F20" s="7">
        <v>150</v>
      </c>
      <c r="G20" t="s">
        <v>11</v>
      </c>
    </row>
    <row r="21" spans="1:7" x14ac:dyDescent="0.3">
      <c r="A21" s="5">
        <v>45677</v>
      </c>
      <c r="B21" s="3">
        <v>45658</v>
      </c>
      <c r="C21" t="s">
        <v>14</v>
      </c>
      <c r="D21" t="s">
        <v>6</v>
      </c>
      <c r="F21" s="7">
        <v>13500</v>
      </c>
      <c r="G21" t="s">
        <v>7</v>
      </c>
    </row>
    <row r="22" spans="1:7" x14ac:dyDescent="0.3">
      <c r="A22" s="5">
        <v>45678</v>
      </c>
      <c r="B22" s="3">
        <v>45658</v>
      </c>
      <c r="C22" t="s">
        <v>40</v>
      </c>
      <c r="D22" t="s">
        <v>30</v>
      </c>
      <c r="F22" s="7">
        <v>1200</v>
      </c>
      <c r="G22" t="s">
        <v>11</v>
      </c>
    </row>
    <row r="23" spans="1:7" x14ac:dyDescent="0.3">
      <c r="A23" s="5">
        <v>45679</v>
      </c>
      <c r="B23" s="3">
        <v>45658</v>
      </c>
      <c r="C23" t="s">
        <v>5</v>
      </c>
      <c r="D23" t="s">
        <v>6</v>
      </c>
      <c r="F23" s="7">
        <v>16500</v>
      </c>
      <c r="G23" t="s">
        <v>7</v>
      </c>
    </row>
    <row r="24" spans="1:7" x14ac:dyDescent="0.3">
      <c r="A24" s="5">
        <v>45680</v>
      </c>
      <c r="B24" s="3">
        <v>45658</v>
      </c>
      <c r="C24" t="s">
        <v>43</v>
      </c>
      <c r="D24" t="s">
        <v>18</v>
      </c>
      <c r="F24" s="7">
        <v>950</v>
      </c>
      <c r="G24" t="s">
        <v>11</v>
      </c>
    </row>
    <row r="25" spans="1:7" x14ac:dyDescent="0.3">
      <c r="A25" s="5">
        <v>45681</v>
      </c>
      <c r="B25" s="3">
        <v>45658</v>
      </c>
      <c r="C25" t="s">
        <v>45</v>
      </c>
      <c r="D25" t="s">
        <v>30</v>
      </c>
      <c r="F25" s="7">
        <v>450</v>
      </c>
      <c r="G25" t="s">
        <v>11</v>
      </c>
    </row>
    <row r="26" spans="1:7" x14ac:dyDescent="0.3">
      <c r="A26" s="5">
        <v>45682</v>
      </c>
      <c r="B26" s="3">
        <v>45658</v>
      </c>
      <c r="C26" t="s">
        <v>47</v>
      </c>
      <c r="D26" t="s">
        <v>6</v>
      </c>
      <c r="F26" s="7">
        <v>4800</v>
      </c>
      <c r="G26" t="s">
        <v>7</v>
      </c>
    </row>
    <row r="27" spans="1:7" x14ac:dyDescent="0.3">
      <c r="A27" s="5">
        <v>45683</v>
      </c>
      <c r="B27" s="3">
        <v>45658</v>
      </c>
      <c r="C27" t="s">
        <v>19</v>
      </c>
      <c r="D27" t="s">
        <v>6</v>
      </c>
      <c r="F27" s="7">
        <v>11200</v>
      </c>
      <c r="G27" t="s">
        <v>7</v>
      </c>
    </row>
    <row r="28" spans="1:7" x14ac:dyDescent="0.3">
      <c r="A28" s="5">
        <v>45684</v>
      </c>
      <c r="B28" s="3">
        <v>45658</v>
      </c>
      <c r="C28" t="s">
        <v>50</v>
      </c>
      <c r="D28" t="s">
        <v>30</v>
      </c>
      <c r="F28" s="7">
        <v>300</v>
      </c>
      <c r="G28" t="s">
        <v>11</v>
      </c>
    </row>
    <row r="29" spans="1:7" x14ac:dyDescent="0.3">
      <c r="A29" s="5">
        <v>45685</v>
      </c>
      <c r="B29" s="3">
        <v>45658</v>
      </c>
      <c r="C29" t="s">
        <v>52</v>
      </c>
      <c r="D29" t="s">
        <v>6</v>
      </c>
      <c r="F29" s="7">
        <v>19500</v>
      </c>
      <c r="G29" t="s">
        <v>7</v>
      </c>
    </row>
    <row r="30" spans="1:7" x14ac:dyDescent="0.3">
      <c r="A30" s="5">
        <v>45686</v>
      </c>
      <c r="B30" s="3">
        <v>45658</v>
      </c>
      <c r="C30" t="s">
        <v>54</v>
      </c>
      <c r="D30" t="s">
        <v>30</v>
      </c>
      <c r="F30" s="7">
        <v>1500</v>
      </c>
      <c r="G30" t="s">
        <v>11</v>
      </c>
    </row>
    <row r="31" spans="1:7" x14ac:dyDescent="0.3">
      <c r="A31" s="5">
        <v>45687</v>
      </c>
      <c r="B31" s="3">
        <v>45658</v>
      </c>
      <c r="C31" t="s">
        <v>8</v>
      </c>
      <c r="D31" t="s">
        <v>6</v>
      </c>
      <c r="F31" s="7">
        <v>7800</v>
      </c>
      <c r="G31" t="s">
        <v>7</v>
      </c>
    </row>
    <row r="32" spans="1:7" x14ac:dyDescent="0.3">
      <c r="A32" s="5">
        <v>45688</v>
      </c>
      <c r="B32" s="3">
        <v>45658</v>
      </c>
      <c r="C32" t="s">
        <v>57</v>
      </c>
      <c r="D32" t="s">
        <v>30</v>
      </c>
      <c r="F32" s="7">
        <v>85</v>
      </c>
      <c r="G32" t="s">
        <v>11</v>
      </c>
    </row>
    <row r="33" spans="1:7" x14ac:dyDescent="0.3">
      <c r="A33" s="5">
        <v>45659</v>
      </c>
      <c r="B33" s="3">
        <v>45658</v>
      </c>
      <c r="C33" t="s">
        <v>5</v>
      </c>
      <c r="D33" t="s">
        <v>6</v>
      </c>
      <c r="F33" s="7">
        <v>17200</v>
      </c>
      <c r="G33" t="s">
        <v>7</v>
      </c>
    </row>
    <row r="34" spans="1:7" x14ac:dyDescent="0.3">
      <c r="A34" s="5">
        <v>45690</v>
      </c>
      <c r="B34" s="3">
        <v>45689</v>
      </c>
      <c r="C34" t="s">
        <v>58</v>
      </c>
      <c r="D34" t="s">
        <v>10</v>
      </c>
      <c r="F34" s="7">
        <v>25000</v>
      </c>
      <c r="G34" t="s">
        <v>11</v>
      </c>
    </row>
    <row r="35" spans="1:7" x14ac:dyDescent="0.3">
      <c r="A35" s="5">
        <v>45718</v>
      </c>
      <c r="B35" s="3">
        <v>45717</v>
      </c>
      <c r="C35" t="s">
        <v>59</v>
      </c>
      <c r="D35" t="s">
        <v>13</v>
      </c>
      <c r="F35" s="7">
        <v>3500</v>
      </c>
      <c r="G35" t="s">
        <v>11</v>
      </c>
    </row>
    <row r="36" spans="1:7" x14ac:dyDescent="0.3">
      <c r="A36" s="5">
        <v>45749</v>
      </c>
      <c r="B36" s="3">
        <v>45748</v>
      </c>
      <c r="C36" t="s">
        <v>14</v>
      </c>
      <c r="D36" t="s">
        <v>6</v>
      </c>
      <c r="F36" s="7">
        <v>13800</v>
      </c>
      <c r="G36" t="s">
        <v>7</v>
      </c>
    </row>
    <row r="37" spans="1:7" x14ac:dyDescent="0.3">
      <c r="A37" s="5">
        <v>45779</v>
      </c>
      <c r="B37" s="3">
        <v>45778</v>
      </c>
      <c r="C37" t="s">
        <v>15</v>
      </c>
      <c r="D37" t="s">
        <v>16</v>
      </c>
      <c r="F37" s="7">
        <v>475</v>
      </c>
      <c r="G37" t="s">
        <v>11</v>
      </c>
    </row>
    <row r="38" spans="1:7" x14ac:dyDescent="0.3">
      <c r="A38" s="5">
        <v>45810</v>
      </c>
      <c r="B38" s="3">
        <v>45809</v>
      </c>
      <c r="C38" t="s">
        <v>60</v>
      </c>
      <c r="D38" t="s">
        <v>18</v>
      </c>
      <c r="F38" s="7">
        <v>1200</v>
      </c>
      <c r="G38" t="s">
        <v>11</v>
      </c>
    </row>
    <row r="39" spans="1:7" x14ac:dyDescent="0.3">
      <c r="A39" s="5">
        <v>45840</v>
      </c>
      <c r="B39" s="3">
        <v>45839</v>
      </c>
      <c r="C39" t="s">
        <v>23</v>
      </c>
      <c r="D39" t="s">
        <v>6</v>
      </c>
      <c r="F39" s="7">
        <v>6200</v>
      </c>
      <c r="G39" t="s">
        <v>7</v>
      </c>
    </row>
    <row r="40" spans="1:7" x14ac:dyDescent="0.3">
      <c r="A40" s="5">
        <v>45871</v>
      </c>
      <c r="B40" s="3">
        <v>45870</v>
      </c>
      <c r="C40" t="s">
        <v>19</v>
      </c>
      <c r="D40" t="s">
        <v>6</v>
      </c>
      <c r="F40" s="7">
        <v>10500</v>
      </c>
      <c r="G40" t="s">
        <v>7</v>
      </c>
    </row>
    <row r="41" spans="1:7" x14ac:dyDescent="0.3">
      <c r="A41" s="5">
        <v>45902</v>
      </c>
      <c r="B41" s="3">
        <v>45901</v>
      </c>
      <c r="C41" t="s">
        <v>61</v>
      </c>
      <c r="D41" t="s">
        <v>21</v>
      </c>
      <c r="F41" s="7">
        <v>2800</v>
      </c>
      <c r="G41" t="s">
        <v>11</v>
      </c>
    </row>
    <row r="42" spans="1:7" x14ac:dyDescent="0.3">
      <c r="A42" s="5">
        <v>45932</v>
      </c>
      <c r="B42" s="3">
        <v>45931</v>
      </c>
      <c r="C42" t="s">
        <v>22</v>
      </c>
      <c r="D42" t="s">
        <v>16</v>
      </c>
      <c r="F42" s="7">
        <v>280</v>
      </c>
      <c r="G42" t="s">
        <v>11</v>
      </c>
    </row>
    <row r="43" spans="1:7" x14ac:dyDescent="0.3">
      <c r="A43" s="5">
        <v>45963</v>
      </c>
      <c r="B43" s="3">
        <v>45962</v>
      </c>
      <c r="C43" t="s">
        <v>32</v>
      </c>
      <c r="D43" t="s">
        <v>6</v>
      </c>
      <c r="F43" s="7">
        <v>15800</v>
      </c>
      <c r="G43" t="s">
        <v>7</v>
      </c>
    </row>
    <row r="44" spans="1:7" x14ac:dyDescent="0.3">
      <c r="A44" s="5">
        <v>45993</v>
      </c>
      <c r="B44" s="3">
        <v>45992</v>
      </c>
      <c r="C44" t="s">
        <v>62</v>
      </c>
      <c r="D44" t="s">
        <v>18</v>
      </c>
      <c r="F44" s="7">
        <v>450</v>
      </c>
      <c r="G44" t="s">
        <v>11</v>
      </c>
    </row>
    <row r="45" spans="1:7" x14ac:dyDescent="0.3">
      <c r="A45" s="5">
        <v>45701</v>
      </c>
      <c r="B45" s="3">
        <v>45689</v>
      </c>
      <c r="C45" t="s">
        <v>8</v>
      </c>
      <c r="D45" t="s">
        <v>6</v>
      </c>
      <c r="F45" s="7">
        <v>8900</v>
      </c>
      <c r="G45" t="s">
        <v>7</v>
      </c>
    </row>
    <row r="46" spans="1:7" x14ac:dyDescent="0.3">
      <c r="A46" s="5">
        <v>45702</v>
      </c>
      <c r="B46" s="3">
        <v>45689</v>
      </c>
      <c r="C46" t="s">
        <v>27</v>
      </c>
      <c r="D46" t="s">
        <v>16</v>
      </c>
      <c r="F46" s="7">
        <v>125</v>
      </c>
      <c r="G46" t="s">
        <v>11</v>
      </c>
    </row>
    <row r="47" spans="1:7" x14ac:dyDescent="0.3">
      <c r="A47" s="5">
        <v>45703</v>
      </c>
      <c r="B47" s="3">
        <v>45689</v>
      </c>
      <c r="C47" t="s">
        <v>66</v>
      </c>
      <c r="D47" t="s">
        <v>30</v>
      </c>
      <c r="F47" s="7">
        <v>200</v>
      </c>
      <c r="G47" t="s">
        <v>11</v>
      </c>
    </row>
    <row r="48" spans="1:7" x14ac:dyDescent="0.3">
      <c r="A48" s="5">
        <v>45704</v>
      </c>
      <c r="B48" s="3">
        <v>45689</v>
      </c>
      <c r="C48" t="s">
        <v>5</v>
      </c>
      <c r="D48" t="s">
        <v>6</v>
      </c>
      <c r="F48" s="7">
        <v>19000</v>
      </c>
      <c r="G48" t="s">
        <v>7</v>
      </c>
    </row>
    <row r="49" spans="1:7" x14ac:dyDescent="0.3">
      <c r="A49" s="5">
        <v>45705</v>
      </c>
      <c r="B49" s="3">
        <v>45689</v>
      </c>
      <c r="C49" t="s">
        <v>69</v>
      </c>
      <c r="D49" t="s">
        <v>30</v>
      </c>
      <c r="F49" s="7">
        <v>3500</v>
      </c>
      <c r="G49" t="s">
        <v>11</v>
      </c>
    </row>
    <row r="50" spans="1:7" x14ac:dyDescent="0.3">
      <c r="A50" s="5">
        <v>45706</v>
      </c>
      <c r="B50" s="3">
        <v>45689</v>
      </c>
      <c r="C50" t="s">
        <v>52</v>
      </c>
      <c r="D50" t="s">
        <v>6</v>
      </c>
      <c r="F50" s="7">
        <v>21000</v>
      </c>
      <c r="G50" t="s">
        <v>7</v>
      </c>
    </row>
    <row r="51" spans="1:7" x14ac:dyDescent="0.3">
      <c r="A51" s="5">
        <v>45707</v>
      </c>
      <c r="B51" s="3">
        <v>45689</v>
      </c>
      <c r="C51" t="s">
        <v>72</v>
      </c>
      <c r="D51" t="s">
        <v>18</v>
      </c>
      <c r="F51" s="7">
        <v>4500</v>
      </c>
      <c r="G51" t="s">
        <v>11</v>
      </c>
    </row>
    <row r="52" spans="1:7" x14ac:dyDescent="0.3">
      <c r="A52" s="5">
        <v>45708</v>
      </c>
      <c r="B52" s="3">
        <v>45689</v>
      </c>
      <c r="C52" t="s">
        <v>47</v>
      </c>
      <c r="D52" t="s">
        <v>6</v>
      </c>
      <c r="F52" s="7">
        <v>5100</v>
      </c>
      <c r="G5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B215-938E-456C-A255-C91AB9C4329A}">
  <sheetPr codeName="Sheet6"/>
  <dimension ref="A1:E52"/>
  <sheetViews>
    <sheetView tabSelected="1" workbookViewId="0">
      <selection sqref="A1:XFD1"/>
    </sheetView>
  </sheetViews>
  <sheetFormatPr defaultRowHeight="14.4" x14ac:dyDescent="0.3"/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45658</v>
      </c>
      <c r="B2" t="s">
        <v>5</v>
      </c>
      <c r="C2" t="s">
        <v>6</v>
      </c>
      <c r="D2">
        <v>15000</v>
      </c>
      <c r="E2" t="s">
        <v>7</v>
      </c>
    </row>
    <row r="3" spans="1:5" x14ac:dyDescent="0.3">
      <c r="A3" s="1">
        <v>45658</v>
      </c>
      <c r="B3" t="s">
        <v>8</v>
      </c>
      <c r="C3" t="s">
        <v>6</v>
      </c>
      <c r="D3">
        <v>8500</v>
      </c>
      <c r="E3" t="s">
        <v>7</v>
      </c>
    </row>
    <row r="4" spans="1:5" x14ac:dyDescent="0.3">
      <c r="A4" s="1">
        <v>45689</v>
      </c>
      <c r="B4" t="s">
        <v>9</v>
      </c>
      <c r="C4" t="s">
        <v>10</v>
      </c>
      <c r="D4">
        <v>25000</v>
      </c>
      <c r="E4" t="s">
        <v>11</v>
      </c>
    </row>
    <row r="5" spans="1:5" x14ac:dyDescent="0.3">
      <c r="A5" s="1">
        <v>45717</v>
      </c>
      <c r="B5" t="s">
        <v>12</v>
      </c>
      <c r="C5" t="s">
        <v>13</v>
      </c>
      <c r="D5">
        <v>3500</v>
      </c>
      <c r="E5" t="s">
        <v>11</v>
      </c>
    </row>
    <row r="6" spans="1:5" x14ac:dyDescent="0.3">
      <c r="A6" s="1">
        <v>45778</v>
      </c>
      <c r="B6" t="s">
        <v>14</v>
      </c>
      <c r="C6" t="s">
        <v>6</v>
      </c>
      <c r="D6">
        <v>12000</v>
      </c>
      <c r="E6" t="s">
        <v>7</v>
      </c>
    </row>
    <row r="7" spans="1:5" x14ac:dyDescent="0.3">
      <c r="A7" s="1">
        <v>45809</v>
      </c>
      <c r="B7" t="s">
        <v>15</v>
      </c>
      <c r="C7" t="s">
        <v>16</v>
      </c>
      <c r="D7">
        <v>450</v>
      </c>
      <c r="E7" t="s">
        <v>11</v>
      </c>
    </row>
    <row r="8" spans="1:5" x14ac:dyDescent="0.3">
      <c r="A8" s="1">
        <v>45839</v>
      </c>
      <c r="B8" t="s">
        <v>17</v>
      </c>
      <c r="C8" t="s">
        <v>18</v>
      </c>
      <c r="D8">
        <v>2500</v>
      </c>
      <c r="E8" t="s">
        <v>11</v>
      </c>
    </row>
    <row r="9" spans="1:5" x14ac:dyDescent="0.3">
      <c r="A9" s="1">
        <v>45870</v>
      </c>
      <c r="B9" t="s">
        <v>19</v>
      </c>
      <c r="C9" t="s">
        <v>6</v>
      </c>
      <c r="D9">
        <v>9800</v>
      </c>
      <c r="E9" t="s">
        <v>7</v>
      </c>
    </row>
    <row r="10" spans="1:5" x14ac:dyDescent="0.3">
      <c r="A10" s="1">
        <v>45901</v>
      </c>
      <c r="B10" t="s">
        <v>20</v>
      </c>
      <c r="C10" t="s">
        <v>21</v>
      </c>
      <c r="D10">
        <v>320</v>
      </c>
      <c r="E10" t="s">
        <v>11</v>
      </c>
    </row>
    <row r="11" spans="1:5" x14ac:dyDescent="0.3">
      <c r="A11" s="1">
        <v>45931</v>
      </c>
      <c r="B11" t="s">
        <v>22</v>
      </c>
      <c r="C11" t="s">
        <v>16</v>
      </c>
      <c r="D11">
        <v>280</v>
      </c>
      <c r="E11" t="s">
        <v>11</v>
      </c>
    </row>
    <row r="12" spans="1:5" x14ac:dyDescent="0.3">
      <c r="A12" s="1">
        <v>45962</v>
      </c>
      <c r="B12" t="s">
        <v>23</v>
      </c>
      <c r="C12" t="s">
        <v>6</v>
      </c>
      <c r="D12">
        <v>5500</v>
      </c>
      <c r="E12" t="s">
        <v>7</v>
      </c>
    </row>
    <row r="13" spans="1:5" x14ac:dyDescent="0.3">
      <c r="A13" s="1">
        <v>45992</v>
      </c>
      <c r="B13" t="s">
        <v>24</v>
      </c>
      <c r="C13" t="s">
        <v>18</v>
      </c>
      <c r="D13">
        <v>1800</v>
      </c>
      <c r="E13" t="s">
        <v>11</v>
      </c>
    </row>
    <row r="14" spans="1:5" x14ac:dyDescent="0.3">
      <c r="A14" t="s">
        <v>25</v>
      </c>
      <c r="B14" t="s">
        <v>5</v>
      </c>
      <c r="C14" t="s">
        <v>6</v>
      </c>
      <c r="D14">
        <v>18000</v>
      </c>
      <c r="E14" t="s">
        <v>7</v>
      </c>
    </row>
    <row r="15" spans="1:5" x14ac:dyDescent="0.3">
      <c r="A15" t="s">
        <v>26</v>
      </c>
      <c r="B15" t="s">
        <v>27</v>
      </c>
      <c r="C15" t="s">
        <v>16</v>
      </c>
      <c r="D15">
        <v>120</v>
      </c>
      <c r="E15" t="s">
        <v>11</v>
      </c>
    </row>
    <row r="16" spans="1:5" x14ac:dyDescent="0.3">
      <c r="A16" t="s">
        <v>28</v>
      </c>
      <c r="B16" t="s">
        <v>29</v>
      </c>
      <c r="C16" t="s">
        <v>30</v>
      </c>
      <c r="D16">
        <v>890</v>
      </c>
      <c r="E16" t="s">
        <v>11</v>
      </c>
    </row>
    <row r="17" spans="1:5" x14ac:dyDescent="0.3">
      <c r="A17" t="s">
        <v>31</v>
      </c>
      <c r="B17" t="s">
        <v>32</v>
      </c>
      <c r="C17" t="s">
        <v>6</v>
      </c>
      <c r="D17">
        <v>14500</v>
      </c>
      <c r="E17" t="s">
        <v>7</v>
      </c>
    </row>
    <row r="18" spans="1:5" x14ac:dyDescent="0.3">
      <c r="A18" t="s">
        <v>33</v>
      </c>
      <c r="B18" t="s">
        <v>34</v>
      </c>
      <c r="C18" t="s">
        <v>21</v>
      </c>
      <c r="D18">
        <v>245</v>
      </c>
      <c r="E18" t="s">
        <v>11</v>
      </c>
    </row>
    <row r="19" spans="1:5" x14ac:dyDescent="0.3">
      <c r="A19" t="s">
        <v>35</v>
      </c>
      <c r="B19" t="s">
        <v>8</v>
      </c>
      <c r="C19" t="s">
        <v>6</v>
      </c>
      <c r="D19">
        <v>9200</v>
      </c>
      <c r="E19" t="s">
        <v>7</v>
      </c>
    </row>
    <row r="20" spans="1:5" x14ac:dyDescent="0.3">
      <c r="A20" t="s">
        <v>36</v>
      </c>
      <c r="B20" t="s">
        <v>37</v>
      </c>
      <c r="C20" t="s">
        <v>30</v>
      </c>
      <c r="D20">
        <v>150</v>
      </c>
      <c r="E20" t="s">
        <v>11</v>
      </c>
    </row>
    <row r="21" spans="1:5" x14ac:dyDescent="0.3">
      <c r="A21" t="s">
        <v>38</v>
      </c>
      <c r="B21" t="s">
        <v>14</v>
      </c>
      <c r="C21" t="s">
        <v>6</v>
      </c>
      <c r="D21">
        <v>13500</v>
      </c>
      <c r="E21" t="s">
        <v>7</v>
      </c>
    </row>
    <row r="22" spans="1:5" x14ac:dyDescent="0.3">
      <c r="A22" t="s">
        <v>39</v>
      </c>
      <c r="B22" t="s">
        <v>40</v>
      </c>
      <c r="C22" t="s">
        <v>30</v>
      </c>
      <c r="D22">
        <v>1200</v>
      </c>
      <c r="E22" t="s">
        <v>11</v>
      </c>
    </row>
    <row r="23" spans="1:5" x14ac:dyDescent="0.3">
      <c r="A23" t="s">
        <v>41</v>
      </c>
      <c r="B23" t="s">
        <v>5</v>
      </c>
      <c r="C23" t="s">
        <v>6</v>
      </c>
      <c r="D23">
        <v>16500</v>
      </c>
      <c r="E23" t="s">
        <v>7</v>
      </c>
    </row>
    <row r="24" spans="1:5" x14ac:dyDescent="0.3">
      <c r="A24" t="s">
        <v>42</v>
      </c>
      <c r="B24" t="s">
        <v>43</v>
      </c>
      <c r="C24" t="s">
        <v>18</v>
      </c>
      <c r="D24">
        <v>950</v>
      </c>
      <c r="E24" t="s">
        <v>11</v>
      </c>
    </row>
    <row r="25" spans="1:5" x14ac:dyDescent="0.3">
      <c r="A25" t="s">
        <v>44</v>
      </c>
      <c r="B25" t="s">
        <v>45</v>
      </c>
      <c r="C25" t="s">
        <v>30</v>
      </c>
      <c r="D25">
        <v>450</v>
      </c>
      <c r="E25" t="s">
        <v>11</v>
      </c>
    </row>
    <row r="26" spans="1:5" x14ac:dyDescent="0.3">
      <c r="A26" t="s">
        <v>46</v>
      </c>
      <c r="B26" t="s">
        <v>47</v>
      </c>
      <c r="C26" t="s">
        <v>6</v>
      </c>
      <c r="D26">
        <v>4800</v>
      </c>
      <c r="E26" t="s">
        <v>7</v>
      </c>
    </row>
    <row r="27" spans="1:5" x14ac:dyDescent="0.3">
      <c r="A27" t="s">
        <v>48</v>
      </c>
      <c r="B27" t="s">
        <v>19</v>
      </c>
      <c r="C27" t="s">
        <v>6</v>
      </c>
      <c r="D27">
        <v>11200</v>
      </c>
      <c r="E27" t="s">
        <v>7</v>
      </c>
    </row>
    <row r="28" spans="1:5" x14ac:dyDescent="0.3">
      <c r="A28" t="s">
        <v>49</v>
      </c>
      <c r="B28" t="s">
        <v>50</v>
      </c>
      <c r="C28" t="s">
        <v>30</v>
      </c>
      <c r="D28">
        <v>300</v>
      </c>
      <c r="E28" t="s">
        <v>11</v>
      </c>
    </row>
    <row r="29" spans="1:5" x14ac:dyDescent="0.3">
      <c r="A29" t="s">
        <v>51</v>
      </c>
      <c r="B29" t="s">
        <v>52</v>
      </c>
      <c r="C29" t="s">
        <v>6</v>
      </c>
      <c r="D29">
        <v>19500</v>
      </c>
      <c r="E29" t="s">
        <v>7</v>
      </c>
    </row>
    <row r="30" spans="1:5" x14ac:dyDescent="0.3">
      <c r="A30" t="s">
        <v>53</v>
      </c>
      <c r="B30" t="s">
        <v>54</v>
      </c>
      <c r="C30" t="s">
        <v>30</v>
      </c>
      <c r="D30">
        <v>1500</v>
      </c>
      <c r="E30" t="s">
        <v>11</v>
      </c>
    </row>
    <row r="31" spans="1:5" x14ac:dyDescent="0.3">
      <c r="A31" t="s">
        <v>55</v>
      </c>
      <c r="B31" t="s">
        <v>8</v>
      </c>
      <c r="C31" t="s">
        <v>6</v>
      </c>
      <c r="D31">
        <v>7800</v>
      </c>
      <c r="E31" t="s">
        <v>7</v>
      </c>
    </row>
    <row r="32" spans="1:5" x14ac:dyDescent="0.3">
      <c r="A32" t="s">
        <v>56</v>
      </c>
      <c r="B32" t="s">
        <v>57</v>
      </c>
      <c r="C32" t="s">
        <v>30</v>
      </c>
      <c r="D32">
        <v>85</v>
      </c>
      <c r="E32" t="s">
        <v>11</v>
      </c>
    </row>
    <row r="33" spans="1:5" x14ac:dyDescent="0.3">
      <c r="A33" s="1">
        <v>45659</v>
      </c>
      <c r="B33" t="s">
        <v>5</v>
      </c>
      <c r="C33" t="s">
        <v>6</v>
      </c>
      <c r="D33">
        <v>17200</v>
      </c>
      <c r="E33" t="s">
        <v>7</v>
      </c>
    </row>
    <row r="34" spans="1:5" x14ac:dyDescent="0.3">
      <c r="A34" s="1">
        <v>45690</v>
      </c>
      <c r="B34" t="s">
        <v>58</v>
      </c>
      <c r="C34" t="s">
        <v>10</v>
      </c>
      <c r="D34">
        <v>25000</v>
      </c>
      <c r="E34" t="s">
        <v>11</v>
      </c>
    </row>
    <row r="35" spans="1:5" x14ac:dyDescent="0.3">
      <c r="A35" s="1">
        <v>45718</v>
      </c>
      <c r="B35" t="s">
        <v>59</v>
      </c>
      <c r="C35" t="s">
        <v>13</v>
      </c>
      <c r="D35">
        <v>3500</v>
      </c>
      <c r="E35" t="s">
        <v>11</v>
      </c>
    </row>
    <row r="36" spans="1:5" x14ac:dyDescent="0.3">
      <c r="A36" s="1">
        <v>45749</v>
      </c>
      <c r="B36" t="s">
        <v>14</v>
      </c>
      <c r="C36" t="s">
        <v>6</v>
      </c>
      <c r="D36">
        <v>13800</v>
      </c>
      <c r="E36" t="s">
        <v>7</v>
      </c>
    </row>
    <row r="37" spans="1:5" x14ac:dyDescent="0.3">
      <c r="A37" s="1">
        <v>45779</v>
      </c>
      <c r="B37" t="s">
        <v>15</v>
      </c>
      <c r="C37" t="s">
        <v>16</v>
      </c>
      <c r="D37">
        <v>475</v>
      </c>
      <c r="E37" t="s">
        <v>11</v>
      </c>
    </row>
    <row r="38" spans="1:5" x14ac:dyDescent="0.3">
      <c r="A38" s="1">
        <v>45810</v>
      </c>
      <c r="B38" t="s">
        <v>60</v>
      </c>
      <c r="C38" t="s">
        <v>18</v>
      </c>
      <c r="D38">
        <v>1200</v>
      </c>
      <c r="E38" t="s">
        <v>11</v>
      </c>
    </row>
    <row r="39" spans="1:5" x14ac:dyDescent="0.3">
      <c r="A39" s="1">
        <v>45840</v>
      </c>
      <c r="B39" t="s">
        <v>23</v>
      </c>
      <c r="C39" t="s">
        <v>6</v>
      </c>
      <c r="D39">
        <v>6200</v>
      </c>
      <c r="E39" t="s">
        <v>7</v>
      </c>
    </row>
    <row r="40" spans="1:5" x14ac:dyDescent="0.3">
      <c r="A40" s="1">
        <v>45871</v>
      </c>
      <c r="B40" t="s">
        <v>19</v>
      </c>
      <c r="C40" t="s">
        <v>6</v>
      </c>
      <c r="D40">
        <v>10500</v>
      </c>
      <c r="E40" t="s">
        <v>7</v>
      </c>
    </row>
    <row r="41" spans="1:5" x14ac:dyDescent="0.3">
      <c r="A41" s="1">
        <v>45902</v>
      </c>
      <c r="B41" t="s">
        <v>61</v>
      </c>
      <c r="C41" t="s">
        <v>21</v>
      </c>
      <c r="D41">
        <v>2800</v>
      </c>
      <c r="E41" t="s">
        <v>11</v>
      </c>
    </row>
    <row r="42" spans="1:5" x14ac:dyDescent="0.3">
      <c r="A42" s="1">
        <v>45932</v>
      </c>
      <c r="B42" t="s">
        <v>22</v>
      </c>
      <c r="C42" t="s">
        <v>16</v>
      </c>
      <c r="D42">
        <v>280</v>
      </c>
      <c r="E42" t="s">
        <v>11</v>
      </c>
    </row>
    <row r="43" spans="1:5" x14ac:dyDescent="0.3">
      <c r="A43" s="1">
        <v>45963</v>
      </c>
      <c r="B43" t="s">
        <v>32</v>
      </c>
      <c r="C43" t="s">
        <v>6</v>
      </c>
      <c r="D43">
        <v>15800</v>
      </c>
      <c r="E43" t="s">
        <v>7</v>
      </c>
    </row>
    <row r="44" spans="1:5" x14ac:dyDescent="0.3">
      <c r="A44" s="1">
        <v>45993</v>
      </c>
      <c r="B44" t="s">
        <v>62</v>
      </c>
      <c r="C44" t="s">
        <v>18</v>
      </c>
      <c r="D44">
        <v>450</v>
      </c>
      <c r="E44" t="s">
        <v>11</v>
      </c>
    </row>
    <row r="45" spans="1:5" x14ac:dyDescent="0.3">
      <c r="A45" t="s">
        <v>63</v>
      </c>
      <c r="B45" t="s">
        <v>8</v>
      </c>
      <c r="C45" t="s">
        <v>6</v>
      </c>
      <c r="D45">
        <v>8900</v>
      </c>
      <c r="E45" t="s">
        <v>7</v>
      </c>
    </row>
    <row r="46" spans="1:5" x14ac:dyDescent="0.3">
      <c r="A46" t="s">
        <v>64</v>
      </c>
      <c r="B46" t="s">
        <v>27</v>
      </c>
      <c r="C46" t="s">
        <v>16</v>
      </c>
      <c r="D46">
        <v>125</v>
      </c>
      <c r="E46" t="s">
        <v>11</v>
      </c>
    </row>
    <row r="47" spans="1:5" x14ac:dyDescent="0.3">
      <c r="A47" t="s">
        <v>65</v>
      </c>
      <c r="B47" t="s">
        <v>66</v>
      </c>
      <c r="C47" t="s">
        <v>30</v>
      </c>
      <c r="D47">
        <v>200</v>
      </c>
      <c r="E47" t="s">
        <v>11</v>
      </c>
    </row>
    <row r="48" spans="1:5" x14ac:dyDescent="0.3">
      <c r="A48" t="s">
        <v>67</v>
      </c>
      <c r="B48" t="s">
        <v>5</v>
      </c>
      <c r="C48" t="s">
        <v>6</v>
      </c>
      <c r="D48">
        <v>19000</v>
      </c>
      <c r="E48" t="s">
        <v>7</v>
      </c>
    </row>
    <row r="49" spans="1:5" x14ac:dyDescent="0.3">
      <c r="A49" t="s">
        <v>68</v>
      </c>
      <c r="B49" t="s">
        <v>69</v>
      </c>
      <c r="C49" t="s">
        <v>30</v>
      </c>
      <c r="D49">
        <v>3500</v>
      </c>
      <c r="E49" t="s">
        <v>11</v>
      </c>
    </row>
    <row r="50" spans="1:5" x14ac:dyDescent="0.3">
      <c r="A50" t="s">
        <v>70</v>
      </c>
      <c r="B50" t="s">
        <v>52</v>
      </c>
      <c r="C50" t="s">
        <v>6</v>
      </c>
      <c r="D50">
        <v>21000</v>
      </c>
      <c r="E50" t="s">
        <v>7</v>
      </c>
    </row>
    <row r="51" spans="1:5" x14ac:dyDescent="0.3">
      <c r="A51" t="s">
        <v>71</v>
      </c>
      <c r="B51" t="s">
        <v>72</v>
      </c>
      <c r="C51" t="s">
        <v>18</v>
      </c>
      <c r="D51">
        <v>4500</v>
      </c>
      <c r="E51" t="s">
        <v>11</v>
      </c>
    </row>
    <row r="52" spans="1:5" x14ac:dyDescent="0.3">
      <c r="A52" t="s">
        <v>73</v>
      </c>
      <c r="B52" t="s">
        <v>47</v>
      </c>
      <c r="C52" t="s">
        <v>6</v>
      </c>
      <c r="D52">
        <v>5100</v>
      </c>
      <c r="E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Dashboard</vt:lpstr>
      <vt:lpstr>P&amp;L_Report</vt:lpstr>
      <vt:lpstr>PivotData</vt:lpstr>
      <vt:lpstr>DataCleaned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Nirbhay  Singh</dc:creator>
  <cp:lastModifiedBy>Surya Nirbhay  Singh</cp:lastModifiedBy>
  <dcterms:created xsi:type="dcterms:W3CDTF">2026-01-02T22:22:00Z</dcterms:created>
  <dcterms:modified xsi:type="dcterms:W3CDTF">2026-01-02T23:49:59Z</dcterms:modified>
</cp:coreProperties>
</file>